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ho0\OneDrive\Desktop\"/>
    </mc:Choice>
  </mc:AlternateContent>
  <xr:revisionPtr revIDLastSave="0" documentId="13_ncr:1_{A49F4036-5DE8-4780-98F8-E8DBD2A87D2D}" xr6:coauthVersionLast="47" xr6:coauthVersionMax="47" xr10:uidLastSave="{00000000-0000-0000-0000-000000000000}"/>
  <bookViews>
    <workbookView xWindow="-120" yWindow="-120" windowWidth="29040" windowHeight="15720" tabRatio="500" firstSheet="1" activeTab="2" xr2:uid="{00000000-000D-0000-FFFF-FFFF00000000}"/>
  </bookViews>
  <sheets>
    <sheet name="🏠 TỔNG QUAN" sheetId="1" r:id="rId1"/>
    <sheet name="📋 DANH MỤC CP" sheetId="2" r:id="rId2"/>
    <sheet name="📊 TỔNG HỢP CP" sheetId="3" r:id="rId3"/>
    <sheet name="📝 NHẬP CP" sheetId="4" r:id="rId4"/>
    <sheet name="🔍 TRA CỨU NHANH" sheetId="5" r:id="rId5"/>
    <sheet name="💰 ĐỊNH MỨC" sheetId="6" r:id="rId6"/>
    <sheet name="📊 QUY TRÌNH" sheetId="7" r:id="rId7"/>
    <sheet name="⏰ NHẮC NHỞ" sheetId="8" r:id="rId8"/>
    <sheet name="📁 BIỂU MẪU" sheetId="9" r:id="rId9"/>
    <sheet name="👥 PHÂN NHÓM N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</calcChain>
</file>

<file path=xl/sharedStrings.xml><?xml version="1.0" encoding="utf-8"?>
<sst xmlns="http://schemas.openxmlformats.org/spreadsheetml/2006/main" count="1432" uniqueCount="898">
  <si>
    <t>🏗️  HỆ THỐNG QUẢN LÝ CHI PHÍ DỰ ÁN – CÔNG TY CỔ PHẦN XÂY DỰNG TRUNG HẢI</t>
  </si>
  <si>
    <t>Tài liệu tra cứu nhanh · Quy trình · Định mức · Chứng từ · Cảnh báo tự động</t>
  </si>
  <si>
    <t>📋 DANH MỤC CHI PHÍ</t>
  </si>
  <si>
    <t>📊 BẢNG TỔNG HỢP</t>
  </si>
  <si>
    <t>📝 NHẬP CHI PHÍ</t>
  </si>
  <si>
    <t>🔍 TRA CỨU NHANH</t>
  </si>
  <si>
    <t>→ Sheet DANH MỤC
Danh sách loại CP
Chứng từ yêu cầu
Định mức &amp; Deadline</t>
  </si>
  <si>
    <t>→ Sheet TỔNG HỢP CP
Toàn bộ chi phí DA
Theo dõi tình trạng
Cảnh báo tự động</t>
  </si>
  <si>
    <t>→ Sheet NHẬP CP
Nhập CP phát sinh
Form nhập liệu nhanh
Lưu chứng từ</t>
  </si>
  <si>
    <t>→ Sheet TRA CỨU
Tìm theo loại CP
Xem chứng từ cần
Quy trình thực hiện</t>
  </si>
  <si>
    <t>💰 ĐỊNH MỨC</t>
  </si>
  <si>
    <t>⏰ NHẮC NHỞ</t>
  </si>
  <si>
    <t>📁 BIỂU MẪU</t>
  </si>
  <si>
    <t>👥 PHÂN NHÓM NS</t>
  </si>
  <si>
    <t>→ Sheet ĐỊNH MỨC
Mức chi công tác
Lưu trú theo nhóm
Xe &amp; Phúc lợi</t>
  </si>
  <si>
    <t>→ Sheet NHẮC NHỞ
Deadline hàng tháng
Công việc định kỳ
Mức độ ưu tiên</t>
  </si>
  <si>
    <t>→ Sheet BIỂU MẪU
Mã biểu mẫu
Hướng dẫn sử dụng
Người lập/lưu</t>
  </si>
  <si>
    <t>→ Sheet PHÂN NHÓM
Nhóm A/B/C
Chức danh áp dụng
Mức hưởng</t>
  </si>
  <si>
    <t>⚡ QUY TẮC QUAN TRỌNG CẦN NHỚ</t>
  </si>
  <si>
    <t>🔴 BẮT BUỘC</t>
  </si>
  <si>
    <t>Hóa đơn GTGT từ 20 triệu → BẮT BUỘC thanh toán chuyển khoản</t>
  </si>
  <si>
    <t>Tạm ứng chưa hoàn → KHÔNG được tạm ứng lần sau</t>
  </si>
  <si>
    <t>🟡 QUAN TRỌNG</t>
  </si>
  <si>
    <t>Sau 5 ngày công tác về phải hoàn thiện chứng từ hoàn ứng</t>
  </si>
  <si>
    <t>Trong 15 ngày sau kết thúc hoạt động phải thanh toán tạm ứng</t>
  </si>
  <si>
    <t>🟢 LƯU Ý</t>
  </si>
  <si>
    <t>Chi phí ≥ 2 khoản/đề nghị → cần kèm Bảng kê chứng từ (BM04/BM06)</t>
  </si>
  <si>
    <t>Mua sắm &gt; 20 triệu → cần ≥ 3 báo giá từ 3 NCC khác nhau</t>
  </si>
  <si>
    <t>📋 DANH MỤC CHI PHÍ – CHỨNG TỪ YÊU CẦU – ĐỊNH MỨC – DEADLINE</t>
  </si>
  <si>
    <t>STT</t>
  </si>
  <si>
    <t>NHÓM CHI PHÍ</t>
  </si>
  <si>
    <t>LOẠI CHI PHÍ</t>
  </si>
  <si>
    <t>CHỨNG TỪ BẮT BUỘC</t>
  </si>
  <si>
    <t>CHỨNG TỪ BỔ SUNG</t>
  </si>
  <si>
    <t>ĐỊNH MỨC / GHI CHÚ</t>
  </si>
  <si>
    <t>THẨM QUYỀN DUYỆT</t>
  </si>
  <si>
    <t>THỜI GIAN XỬ LÝ</t>
  </si>
  <si>
    <t>DEADLINE HỒ SƠ</t>
  </si>
  <si>
    <t>BIỂU MẪU</t>
  </si>
  <si>
    <t>I.1</t>
  </si>
  <si>
    <t>NHÂN SỰ</t>
  </si>
  <si>
    <t>Lương &amp; Phụ cấp</t>
  </si>
  <si>
    <t>Bảng lương đã duyệt; BCC; Bảng mềm tiền lương toàn CT</t>
  </si>
  <si>
    <t>Giấy ĐNTT lương; Bảng kỷ luật (nếu có)</t>
  </si>
  <si>
    <t>Tạm ứng tối đa 70% lương; BHXH trích theo luật</t>
  </si>
  <si>
    <t>P.HCNS → P.TCKT → BGĐ</t>
  </si>
  <si>
    <t>Ngày 10-20 hàng tháng</t>
  </si>
  <si>
    <t>Ngày 05 gửi bảng lương KT</t>
  </si>
  <si>
    <t>BM05.QT06.01</t>
  </si>
  <si>
    <t>I.2</t>
  </si>
  <si>
    <t>Thưởng &amp; Phúc lợi</t>
  </si>
  <si>
    <t>Quyết định khen thưởng của BGĐ; Danh sách CBNV nhận thưởng</t>
  </si>
  <si>
    <t>Giấy ĐNTT (BM05.QT06.01)</t>
  </si>
  <si>
    <t>Theo QĐ TGĐ/Chủ tịch HĐQT; Thưởng TN: công ty có lãi</t>
  </si>
  <si>
    <t>Trước ngày khen thưởng</t>
  </si>
  <si>
    <t>I.3</t>
  </si>
  <si>
    <t>BHXH, BHYT, BHTN</t>
  </si>
  <si>
    <t>Danh sách khoản phải nộp; Chi tiết đóng BHXH/BHYT/BHTN (mẫu C12-TS)</t>
  </si>
  <si>
    <t>—</t>
  </si>
  <si>
    <t>Trích theo tỷ lệ pháp luật quy định</t>
  </si>
  <si>
    <t>Trước ngày 10 hàng tháng</t>
  </si>
  <si>
    <t>C12-TS</t>
  </si>
  <si>
    <t>I.4</t>
  </si>
  <si>
    <t>Đồng phục &amp; BHLĐ</t>
  </si>
  <si>
    <t>Kế hoạch cấp phát đã duyệt TGĐ; Biên bản bàn giao</t>
  </si>
  <si>
    <t>Hóa đơn GTGT; Hợp đồng mua sắm</t>
  </si>
  <si>
    <t>VP: 2 áo+2 quần/năm; CT: 1 áo+1 quần+BHLĐ 2 bộ/năm</t>
  </si>
  <si>
    <t>Ban TC-HC → TGĐ</t>
  </si>
  <si>
    <t>Theo kế hoạch năm</t>
  </si>
  <si>
    <t>Đề xuất trước 1 tháng</t>
  </si>
  <si>
    <t>II.1</t>
  </si>
  <si>
    <t>CÔNG TÁC PHÍ</t>
  </si>
  <si>
    <t>Di chuyển trong nước</t>
  </si>
  <si>
    <t>Kế hoạch CT được duyệt; Giấy đề nghị cử đi CT; Báo cáo KQ CT</t>
  </si>
  <si>
    <t>Vé tàu/xe/máy bay hợp lệ; Hóa đơn GTGT (&gt;200k); Giấy đi đường có dấu</t>
  </si>
  <si>
    <t>Nhóm A: máy bay TM(A1)/phổ thông(A2-A4); Nhóm B: máy bay GR; Nhóm C: ô tô/tàu xe</t>
  </si>
  <si>
    <t>Trưởng BP → TGĐ/PTGĐ</t>
  </si>
  <si>
    <t>≤3 ngày làm việc</t>
  </si>
  <si>
    <t>5 ngày sau khi về</t>
  </si>
  <si>
    <t>BM01-BM02.QT06.01</t>
  </si>
  <si>
    <t>II.2</t>
  </si>
  <si>
    <t>Lưu trú trong nước</t>
  </si>
  <si>
    <t>Hóa đơn phòng khách sạn/nhà nghỉ hợp lệ</t>
  </si>
  <si>
    <t>Xác nhận nơi lưu trú</t>
  </si>
  <si>
    <t>KV1 Nhóm A2-A4: ≤2tr đôi/≤1.2tr đơn; Nhóm B: ≤1tr đôi; Nhóm C: ≤700k đôi</t>
  </si>
  <si>
    <t>≤3 ngày</t>
  </si>
  <si>
    <t>II.3</t>
  </si>
  <si>
    <t>Phụ cấp công tác ngắn (&lt;15 ngày)</t>
  </si>
  <si>
    <t>Báo cáo KQ CT được duyệt; Xác nhận nơi đến (dấu cơ quan/khách sạn)</t>
  </si>
  <si>
    <t>Bảng chấm công</t>
  </si>
  <si>
    <t>KV1: Nhóm B 200k/ngày, Nhóm C 150k/ngày; KV2: B 150k, C 120k; KV3: B 120k, C 100k</t>
  </si>
  <si>
    <t>II.4</t>
  </si>
  <si>
    <t>Phụ cấp công tác dài (15-90 ngày)</t>
  </si>
  <si>
    <t>Kế hoạch CT đã duyệt; Báo cáo KQ CT hàng tháng</t>
  </si>
  <si>
    <t>Xác nhận nơi đến công tác</t>
  </si>
  <si>
    <t>KV1: Nhóm B 4tr/tháng, Nhóm C 3tr/tháng; KV2: B 3tr, C 2.4tr; KV3: B 2.4tr, C 2tr</t>
  </si>
  <si>
    <t>TGĐ/PTGĐ phụ trách</t>
  </si>
  <si>
    <t>III.1</t>
  </si>
  <si>
    <t>TIẾP KHÁCH</t>
  </si>
  <si>
    <t>Tiếp khách trong nước</t>
  </si>
  <si>
    <t>Giấy Đề Xuất Tiếp Khách (GĐXTK) được duyệt; Hóa đơn GTGT; Bảng kê CT TT (BM06)</t>
  </si>
  <si>
    <t>Bảng kê chi tiết món ăn (nếu HĐ ăn uống)</t>
  </si>
  <si>
    <t>Phải gắn liền hiệu quả CV; Có xác nhận TP/bộ phận; Mức theo QC hiện hành</t>
  </si>
  <si>
    <t>Trưởng BP → P.HCNS → BGĐ</t>
  </si>
  <si>
    <t>Trong 3 ngày sau tiếp khách</t>
  </si>
  <si>
    <t>BM05+BM06.QT06.01</t>
  </si>
  <si>
    <t>III.2</t>
  </si>
  <si>
    <t>Hội nghị, Hội họp, Sự kiện</t>
  </si>
  <si>
    <t>Kế hoạch/dự toán được TGĐ/PTGĐ duyệt trước; Danh sách người tham dự; Biên bản hội nghị</t>
  </si>
  <si>
    <t>HĐ thuê địa điểm; Hóa đơn từng khoản; Giấy mời</t>
  </si>
  <si>
    <t>Định mức tùy thời điểm, địa điểm; gồm: lưu trú, vé, CP tổ chức, quà LN</t>
  </si>
  <si>
    <t>Ban TC-HC → TGĐ/PTGĐ</t>
  </si>
  <si>
    <t>≤5 ngày</t>
  </si>
  <si>
    <t>Trong 5 ngày sau sự kiện</t>
  </si>
  <si>
    <t>IV.1</t>
  </si>
  <si>
    <t>VĂN PHÒNG PHẨM</t>
  </si>
  <si>
    <t>VPP thông thường</t>
  </si>
  <si>
    <t>Giấy ĐNTT (BM05); Bảng kê mua hàng; Hóa đơn GTGT; Phiếu YC VPP; Biên bản giao nhận</t>
  </si>
  <si>
    <t>Theo kế hoạch tháng; Ban TC-HC tổng hợp, đặt trước ngày 28</t>
  </si>
  <si>
    <t>Ngày 28 hàng tháng</t>
  </si>
  <si>
    <t>IV.2</t>
  </si>
  <si>
    <t>Công cụ dụng cụ (&lt;30tr, &lt;36 tháng)</t>
  </si>
  <si>
    <t>Kế hoạch mua sắm; 3 báo giá; QĐ phê duyệt NCC; HĐ+thanh lý; HĐ GTGT; BB bàn giao; Phiếu nhập kho</t>
  </si>
  <si>
    <t>Phiếu bàn giao cho bộ phận SD</t>
  </si>
  <si>
    <t>⚠️ HĐ ≥20tr → CK bắt buộc; 3 báo giá giống về chủng loại, QC, đặc tính KT</t>
  </si>
  <si>
    <t>BP có nhu cầu → P.HCNS → P.TCKT</t>
  </si>
  <si>
    <t>Trong 3 ngày sau mua hàng</t>
  </si>
  <si>
    <t>V.1</t>
  </si>
  <si>
    <t>XE VĂN PHÒNG</t>
  </si>
  <si>
    <t>Nhiên liệu xăng dầu</t>
  </si>
  <si>
    <t>Giấy đề nghị sử dụng xe (BM.01); Nhật trình xe (BM.02); Hóa đơn xăng dầu</t>
  </si>
  <si>
    <t>Phí cầu đường (cuống vé/HĐ)</t>
  </si>
  <si>
    <t>Định mức = Mức tiêu hao NL × Hệ số H; Đồng bằng &lt;90k km: H=1.1; Vùng núi: H=1.35</t>
  </si>
  <si>
    <t>Trưởng HCNS → BGĐ</t>
  </si>
  <si>
    <t>5 ngày đầu tháng sau quyết toán</t>
  </si>
  <si>
    <t>BM.01+BM.02</t>
  </si>
  <si>
    <t>V.2</t>
  </si>
  <si>
    <t>Sửa chữa thường xuyên</t>
  </si>
  <si>
    <t>BB kiểm tra thiết bị báo hỏng; Đề nghị SC được duyệt; Hóa đơn GTGT; BB nghiệm thu</t>
  </si>
  <si>
    <t>3 báo giá (SC ≥3tr); HĐ SC nếu có</t>
  </si>
  <si>
    <t>Hư hỏng đột xuất: báo TC-HC → BTGĐ duyệt trước; SC ≥3tr: cần ≥2 đơn vị báo giá</t>
  </si>
  <si>
    <t>P.HCNS → BTGĐ</t>
  </si>
  <si>
    <t>Trong 5 ngày sau SC</t>
  </si>
  <si>
    <t>V.3</t>
  </si>
  <si>
    <t>Rửa xe định kỳ</t>
  </si>
  <si>
    <t>Hóa đơn/biên lai rửa xe; Giấy ĐNTT hoặc hóa đơn dịch vụ</t>
  </si>
  <si>
    <t>Xe TGĐ/PTGĐ/CTHĐQT: ≤700k/xe/tháng; Xe VP: ≤600k; Xe CT: ≤400k</t>
  </si>
  <si>
    <t>P.HCNS → BGĐ</t>
  </si>
  <si>
    <t>Cuối tháng</t>
  </si>
  <si>
    <t>VI.1</t>
  </si>
  <si>
    <t>MUA SẮM TSCD</t>
  </si>
  <si>
    <t>TSCD (≥30tr, &gt;1 năm)</t>
  </si>
  <si>
    <t>Kế hoạch mua sắm/dự toán; 3 báo giá; QĐ phê duyệt NCC; HĐ+TL; HĐ GTGT; BB bàn giao</t>
  </si>
  <si>
    <t>Phiếu nhập kho; Phiếu bàn giao từ P.HCNS</t>
  </si>
  <si>
    <t>⚠️ HĐ ≥20tr → CK bắt buộc; 3 báo giá giống chủng loại, QC, đặc tính KT</t>
  </si>
  <si>
    <t>BP → P.HCNS → P.TCKT → BGĐ</t>
  </si>
  <si>
    <t>VI.2</t>
  </si>
  <si>
    <t>Sửa chữa TSCD/Thiết bị VP</t>
  </si>
  <si>
    <t>BB KT thiết bị báo hỏng; Đề nghị SC; 3 báo giá; Dự trù CP; Hóa đơn GTGT; BB nghiệm thu</t>
  </si>
  <si>
    <t>HĐ TLHĐ thuê khoán NC; Giấy biên nhận tiền</t>
  </si>
  <si>
    <t>⚠️ HĐ ≥20tr → CK bắt buộc</t>
  </si>
  <si>
    <t>VII.1</t>
  </si>
  <si>
    <t>CHI PHÍ DỰ ÁN</t>
  </si>
  <si>
    <t>NVL trực tiếp cho công trình</t>
  </si>
  <si>
    <t>YC mua VT được duyệt; Đơn đặt hàng; HĐ mua bán; HĐ GTGT; Phiếu xuất kho bên bán; Phiếu nhập kho; CT TT qua NH</t>
  </si>
  <si>
    <t>Chứng chỉ CL, xuất xứ HH; Phiếu bảo hành</t>
  </si>
  <si>
    <t>Trên YC VT phải thể hiện gói thầu; Lần sau cần photo kép + xác nhận KL lũy kế</t>
  </si>
  <si>
    <t>P.TCKT → P.ĐHDA → Ban DD → BGĐ</t>
  </si>
  <si>
    <t>Khi phát sinh</t>
  </si>
  <si>
    <t>VII.2</t>
  </si>
  <si>
    <t>Nhân công trực tiếp</t>
  </si>
  <si>
    <t>HĐ LĐ hoặc HĐ giao khoán; CMT/CCCD (công chứng); Cam kết AT LĐ; Bảng chấm công; Bảng TT lương; Cam kết TN 1 nơi; BB xác nhận KL</t>
  </si>
  <si>
    <t>Thủ tục thuế TNCN và BHBB</t>
  </si>
  <si>
    <t>Cam kết TN 1 nơi theo Mẫu 08/CK-TNCN (TT 80/2021/TT-BTC)</t>
  </si>
  <si>
    <t>VII.3</t>
  </si>
  <si>
    <t>Máy thi công</t>
  </si>
  <si>
    <t>ĐNTT (BM05); HĐ thuê máy TC/HĐ giao khoán ca máy; Sổ nhật trình máy; BB nghiệm thu; BB thanh lý; HĐ GTGT</t>
  </si>
  <si>
    <t>Chứng từ khác nếu có</t>
  </si>
  <si>
    <t>Định mức theo dự toán được duyệt khi ký HĐ DA</t>
  </si>
  <si>
    <t>VIII.1</t>
  </si>
  <si>
    <t>ĐIỆN THOẠI &amp; IT</t>
  </si>
  <si>
    <t>Cước điện thoại/Internet</t>
  </si>
  <si>
    <t>Hóa đơn dịch vụ; Giấy ĐNTT (BM05)</t>
  </si>
  <si>
    <t>Theo hóa đơn thực tế</t>
  </si>
  <si>
    <t>Trong 3 ngày sau nhận HĐ</t>
  </si>
  <si>
    <t>VIII.2</t>
  </si>
  <si>
    <t>Máy tính (mua mới)</t>
  </si>
  <si>
    <t>Đề xuất mua máy tính + TGĐ chấp thuận; Hóa đơn GTGT; Biên bản giao nhận</t>
  </si>
  <si>
    <t>3 báo giá nếu NCC chưa có HĐ</t>
  </si>
  <si>
    <t>Nhóm A1: theo HĐ TT; A2-A4: ≤25tr/chiếc; B: ≤20tr; C: ≤15tr/chiếc</t>
  </si>
  <si>
    <t>TGĐ → P.HCNS → P.TCKT</t>
  </si>
  <si>
    <t>Trong 3 ngày sau mua</t>
  </si>
  <si>
    <t>IX.1</t>
  </si>
  <si>
    <t>ĐIỆN NƯỚC &amp; VP</t>
  </si>
  <si>
    <t>Tiền điện, nước</t>
  </si>
  <si>
    <t>Giấy ĐNTT (BM05); Hóa đơn GTGT; Bảng kê CT TT (BM06) nếu ≥2 khoản</t>
  </si>
  <si>
    <t>Chi theo dự chi và định mức đã được phê duyệt</t>
  </si>
  <si>
    <t>X.1</t>
  </si>
  <si>
    <t>THUÊ DỊCH VỤ</t>
  </si>
  <si>
    <t>Thuê phương tiện vận chuyển</t>
  </si>
  <si>
    <t>Giấy ĐNTT (BM05); 3 báo giá; HĐ+TLHĐ; Hóa đơn GTGT; Kế hoạch được duyệt</t>
  </si>
  <si>
    <t>HĐ đào tạo/tư vấn gửi P.TCKT 1 bản gốc</t>
  </si>
  <si>
    <t>⚠️ HĐ ≥20tr → CK bắt buộc; Giá tuân thủ QĐ chung</t>
  </si>
  <si>
    <t>Phòng ban → P.HCNS → P.TCKT → BGĐ</t>
  </si>
  <si>
    <t>Trong 3 ngày sau DV</t>
  </si>
  <si>
    <t>X.2</t>
  </si>
  <si>
    <t>Thuê chuyên gia đào tạo/tư vấn</t>
  </si>
  <si>
    <t>Giấy ĐNTT (BM05); HĐ+TLHĐ; Phiếu thu/biên lai; Bằng/chứng chỉ photo khi kết thúc</t>
  </si>
  <si>
    <t>Theo thỏa thuận tại HĐ thuê chuyên gia</t>
  </si>
  <si>
    <t>📊 BẢNG TỔNG HỢP CHI PHÍ DỰ ÁN – TRUNG HẢI</t>
  </si>
  <si>
    <t>📊 TÓM TẮT NHANH</t>
  </si>
  <si>
    <t>TỔNG SỐ HS</t>
  </si>
  <si>
    <t>TỔNG ĐỀ NGHỊ</t>
  </si>
  <si>
    <t>TỔNG THỰC CHI</t>
  </si>
  <si>
    <t>QUÁ HẠN</t>
  </si>
  <si>
    <t>CÒN HẠN</t>
  </si>
  <si>
    <t>Ngày nhận HS</t>
  </si>
  <si>
    <t>Người gửi/NCC</t>
  </si>
  <si>
    <t>Dự án</t>
  </si>
  <si>
    <t>Hợp đồng</t>
  </si>
  <si>
    <t>Nội dung chi tiết</t>
  </si>
  <si>
    <t>Nhóm chi phí</t>
  </si>
  <si>
    <t>Loại chi phí</t>
  </si>
  <si>
    <t>Số tiền đề nghị</t>
  </si>
  <si>
    <t>Số tiền thực chi</t>
  </si>
  <si>
    <t>Ngày chi thực tế</t>
  </si>
  <si>
    <t>Hạn mức chi</t>
  </si>
  <si>
    <t>Tình trạng HS</t>
  </si>
  <si>
    <t>Ngày hoàn ứng DK</t>
  </si>
  <si>
    <t>Theo dõi quá hạn</t>
  </si>
  <si>
    <t>Chứng từ bổ sung</t>
  </si>
  <si>
    <t>Số HĐ/Chứng từ</t>
  </si>
  <si>
    <t>Mức độ ưu tiên</t>
  </si>
  <si>
    <t>Phân loại quỹ</t>
  </si>
  <si>
    <t>File đính kèm</t>
  </si>
  <si>
    <t>Ghi chú / Cảnh báo</t>
  </si>
  <si>
    <t>TL-MT</t>
  </si>
  <si>
    <t>Chi phí thuê xe ô tô chở Thoa đi từ CT-ĐH xuống dự án HCM-TL-MT</t>
  </si>
  <si>
    <t>Chi phí Quản lý công trường (627)</t>
  </si>
  <si>
    <t>Vận chuyển quản lý (Xe sếp...)</t>
  </si>
  <si>
    <t>Theo định mức</t>
  </si>
  <si>
    <t>Đã hoàn ứng (Completed)</t>
  </si>
  <si>
    <t>Xong</t>
  </si>
  <si>
    <t>P0</t>
  </si>
  <si>
    <t>Quỹ HCNS</t>
  </si>
  <si>
    <t>Thuê phòng thanh toán đến ngày 21/03</t>
  </si>
  <si>
    <t>Công tác phí (Đi lại, lưu trú)</t>
  </si>
  <si>
    <t>Mới nhận (New):</t>
  </si>
  <si>
    <t>Quá hạn 39 ngày</t>
  </si>
  <si>
    <t>P1</t>
  </si>
  <si>
    <t>Quỹ Tiền Dầu</t>
  </si>
  <si>
    <t>Mua xe máy 2 chiếc</t>
  </si>
  <si>
    <t>Văn phòng phẩm &amp; Hành chính phí</t>
  </si>
  <si>
    <t>P2</t>
  </si>
  <si>
    <t>Thanh toán tiền cơm của Trần Khắc Trung và A Kiên</t>
  </si>
  <si>
    <t>Bếp ăn &amp; Đời sống công trường</t>
  </si>
  <si>
    <t>P3</t>
  </si>
  <si>
    <t>Thanh toán chi phí mua 100 lít dầu</t>
  </si>
  <si>
    <t>Chi phí Vật tư trực tiếp (621)</t>
  </si>
  <si>
    <t>Dầu (Nhiên liệu)</t>
  </si>
  <si>
    <t>Thanh toán chi phí thuê xe máy của a Trung</t>
  </si>
  <si>
    <t>Lương nhân viên Ban điều hành</t>
  </si>
  <si>
    <t>Thanh toán tiền cơm của a Huệ từ ngày 20/03 đến 31/03</t>
  </si>
  <si>
    <t>Thanh toán chi phí mua dầu 50 lít dầu</t>
  </si>
  <si>
    <t>Quá hạn 38 ngày</t>
  </si>
  <si>
    <t>Thanh toán chi phí mời cơm trưa P.CT</t>
  </si>
  <si>
    <t>Quá hạn 37 ngày</t>
  </si>
  <si>
    <t>Thanh toán chi phí làm logo Đèo Cả bằng bạt</t>
  </si>
  <si>
    <t>Thanh toán chi phí in logo Đèo Cả</t>
  </si>
  <si>
    <t>Thanh toán tiền set up phòng họp ở dự án CT-ĐH</t>
  </si>
  <si>
    <t>Quá hạn 36 ngày</t>
  </si>
  <si>
    <t>Thanh toán chi phí in decal DEO CA</t>
  </si>
  <si>
    <t>Thanh toán chi phí mời cơm tối P.CT</t>
  </si>
  <si>
    <t>Thanh toán chi phí thuê phòng đến ngày 24/03</t>
  </si>
  <si>
    <t>Quá hạn 35 ngày</t>
  </si>
  <si>
    <t>Chi phí chở đồ ủng và giày CT-ĐH xuống dự án</t>
  </si>
  <si>
    <t>Chi phí tiền grab của a Trường trắc đạc xuống dự án</t>
  </si>
  <si>
    <t>Chi phí làm decal logo dán lên nón BHLĐ</t>
  </si>
  <si>
    <t>Chi phí mua nón BHLĐ (15 cái x 45.000)</t>
  </si>
  <si>
    <t>Thanh toán tiền xăng 51M97730 Fortuner chở sếp Tuấn về SG</t>
  </si>
  <si>
    <t>Chi phí ngoại giao phong bì</t>
  </si>
  <si>
    <t>Quá hạn 34 ngày</t>
  </si>
  <si>
    <t>Thanh toán tiền mua 50 lít dầu cấp MPD</t>
  </si>
  <si>
    <t>Thanh toán tiền mua 50 lít dầu cấp máy đào 07 làm mặt bảng bãi dầm</t>
  </si>
  <si>
    <t>Thanh toán tiền đổ xăng xe Fotuner để sếp Thạch về SG</t>
  </si>
  <si>
    <t>Chi phí đổ xăng xe fotuner</t>
  </si>
  <si>
    <t>Quá hạn 33 ngày</t>
  </si>
  <si>
    <t>Thanh toán tiền mua 25 lít dầu cấp máy đào CKN hạ thép</t>
  </si>
  <si>
    <t>Thanh toán tiền mua dầu cấp 200 lít MPD</t>
  </si>
  <si>
    <t>Thuê xe lôi chở dầu cấp cho trường</t>
  </si>
  <si>
    <t>Thanh toán tiền cơm của Thoa từ ngày 20/03 đến 31/03</t>
  </si>
  <si>
    <t>Quá hạn 32 ngày</t>
  </si>
  <si>
    <t>Chi phí thuê phòng từ ngày 25 đến 27/03</t>
  </si>
  <si>
    <t>Chi phí thưởng cho đội khoan</t>
  </si>
  <si>
    <t>Quá hạn 31 ngày</t>
  </si>
  <si>
    <t>Thanh toán tiền mua dầu cấp MPD</t>
  </si>
  <si>
    <t>Quá hạn 30 ngày</t>
  </si>
  <si>
    <t>Thuê xe lôi chở dầu</t>
  </si>
  <si>
    <t>Theo HĐ</t>
  </si>
  <si>
    <t>Chi phí tiền ăn của a Trung và a Kiên, A Vũ Anh 21/03 đến 09/04</t>
  </si>
  <si>
    <t>Chi phí tiếp PT</t>
  </si>
  <si>
    <t>Chi phí tiền ăn của a Tân ATLĐ từ ngày 28/03 đến 31/03</t>
  </si>
  <si>
    <t>Chi phí làm 3 cái bảng nội quy + phí vận chuyển</t>
  </si>
  <si>
    <t>Chi phí GRAB giao đồ BHLĐ từ Cty xuống dự án</t>
  </si>
  <si>
    <t>Quá hạn 29 ngày</t>
  </si>
  <si>
    <t>Thanh toán tiền dầu cấp MPD hôm ngày 26/03 đội KCN mua hộ</t>
  </si>
  <si>
    <t>Theo thực tế</t>
  </si>
  <si>
    <t>Chi phí thuê nhân công bốc xếp máy lạnh đồ ở CT-ĐH gửi xuống dự án</t>
  </si>
  <si>
    <t>Quá hạn 28 ngày</t>
  </si>
  <si>
    <t>Chi phí thuê xe lalamove chuyển máy lạnh và đồ xuống dự án</t>
  </si>
  <si>
    <t>Chi phí thuê nhân công tháo và bốc xếp máy lạnh đồ ở CT-ĐH</t>
  </si>
  <si>
    <t>Thanh toán tiền 50 lít dầu cấp MPD</t>
  </si>
  <si>
    <t>Quá hạn 27 ngày</t>
  </si>
  <si>
    <t>Chi phí thuê Trắc Đạc hỗ trợ bắn tim trụ 198+197 và chỗ TN lấy mẫu KCN</t>
  </si>
  <si>
    <t>Chi phí cúng 16 âm lịch 2 mâm ở Miếu Bà Cố</t>
  </si>
  <si>
    <t>Quá hạn 26 ngày</t>
  </si>
  <si>
    <t>Quá hạn 25 ngày</t>
  </si>
  <si>
    <t>Thanh toán tiền dầu cấp 50 lít cho máy đào 09</t>
  </si>
  <si>
    <t>Thanh toán tiền dầu cấp 25 lít máy đào KCN hỗ trợ hạ thép</t>
  </si>
  <si>
    <t>Chi phí tiền ăn của a Trung 10 ngày từ ngày 01/04 đến 10/04</t>
  </si>
  <si>
    <t>Thanh toán tiền dầu cấp 175 lít MPD</t>
  </si>
  <si>
    <t>Quá hạn 24 ngày</t>
  </si>
  <si>
    <t>Thanh toán tiền dầu cấp 100 lít cho máy đào 09 và máy 07</t>
  </si>
  <si>
    <t>Chi phí tiền ăn của a Tân 5 ngày từ ngày 01/04 đến 10/04</t>
  </si>
  <si>
    <t>Chi phí mua 2 thùng xốp ở CT-ĐH để đựng hồ sơ</t>
  </si>
  <si>
    <t>Quá hạn 23 ngày</t>
  </si>
  <si>
    <t>Quá hạn 22 ngày</t>
  </si>
  <si>
    <t>Thanh toán tiền dầu cấp 30 lít cho máy đào 09</t>
  </si>
  <si>
    <t>Quá hạn 21 ngày</t>
  </si>
  <si>
    <t>Chi phí tiền ăn của a Tín 10 ngày từ ngày 29/03 đến 07/04</t>
  </si>
  <si>
    <t>Chi phí tiền xăng của a Tân+a Huệ+a Trung</t>
  </si>
  <si>
    <t>Chi phí thuê phòng từ ngày 28/03 đến 08/04</t>
  </si>
  <si>
    <t>Quá hạn 20 ngày</t>
  </si>
  <si>
    <t>Chi phí tiền ăn của Thoa 10 ngày từ ngày 01/04 đến 10/04</t>
  </si>
  <si>
    <t>Chi phí tiền ăn của a Trung 10 ngày từ ngày 01/04 đến 10/06</t>
  </si>
  <si>
    <t>Chuyển tiền làm logo DEOCA</t>
  </si>
  <si>
    <t>Mua dụng cụ dọn dẹp vệ sinh BĐH</t>
  </si>
  <si>
    <t>Mua chổi và vim, sunlight lau nhà</t>
  </si>
  <si>
    <t>Mua chăn ga gối nệm cho CB-CNV</t>
  </si>
  <si>
    <t>Quá hạn 19 ngày</t>
  </si>
  <si>
    <t>Quá hạn 18 ngày</t>
  </si>
  <si>
    <t>Chi phí thuê xe ô tô Khang đi ký hồ sơ dự án CT-ĐH</t>
  </si>
  <si>
    <t>Hỗ trợ tiền dầu cho xe ben và máy đào cấp đất làm mặt bằng nhà BĐH</t>
  </si>
  <si>
    <t>Quá hạn 16 ngày</t>
  </si>
  <si>
    <t>Thanh toán tiền mua dầu cấp 50 lít MPD</t>
  </si>
  <si>
    <t>Quá hạn 15 ngày</t>
  </si>
  <si>
    <t>Chi phí tạm ứng tiền cơm của a Huệ</t>
  </si>
  <si>
    <t>Quá hạn 14 ngày</t>
  </si>
  <si>
    <t>Chi phí tiếp PT ngày 14/04+15/04/2026</t>
  </si>
  <si>
    <t>Chi phí cúng dọn vào ở BĐH ngày 28/03 âm lịch</t>
  </si>
  <si>
    <t>Chi phí mua móc dán tường phòng nam</t>
  </si>
  <si>
    <t>Quá hạn 13 ngày</t>
  </si>
  <si>
    <t>Thanh toán tiền dầu cấp 50 lít cho máy đào 07</t>
  </si>
  <si>
    <t>Quá hạn 12 ngày</t>
  </si>
  <si>
    <t>Thanh toán tiền mua dầu cấp 30 lít MPD</t>
  </si>
  <si>
    <t>Mua thùng xốp 3 thùng cho mr Danh ở CT-ĐH</t>
  </si>
  <si>
    <t>Mua thùng xốp 4 thùng cho Linh ở CT-ĐH</t>
  </si>
  <si>
    <t>Chi phí tiền cơm 6 ngày của a Huệ</t>
  </si>
  <si>
    <t>Quá hạn 11 ngày</t>
  </si>
  <si>
    <t>Mua móc dán tường +cây đập muỗi phòng nữ</t>
  </si>
  <si>
    <t>Mua 3 thùng xốp cho Linh ở CT-ĐH+phí vận chuyển 3 đợt</t>
  </si>
  <si>
    <t>Chí phí cúng mùng 2 ÂL ( 2 mâm ở BĐH và ở Miếu)</t>
  </si>
  <si>
    <t>Chuyển tiền xăng xe của anh Vinh CBKT</t>
  </si>
  <si>
    <t>Chi phí mua bình gas dự án</t>
  </si>
  <si>
    <t>Quá hạn 10 ngày</t>
  </si>
  <si>
    <t>Quá hạn 9 ngày</t>
  </si>
  <si>
    <t>Chi phí a Tín tiếp khách 60k, a Tín photo 37k+ mua gram giấy a4</t>
  </si>
  <si>
    <t>Chi phí a Trung mua đũa muỗng+ly</t>
  </si>
  <si>
    <t>Chi phí thuê xe vận chuyển đồ ở CT-ĐH xuống dự án ngày 13/4</t>
  </si>
  <si>
    <t>Chi phí thuê nhân công tháo lắp bàn ghế+bốc xếp lên xe vận chuyển ngày 13/04</t>
  </si>
  <si>
    <t>Quá hạn 8 ngày</t>
  </si>
  <si>
    <t>Chi phí mua nước uống+ nước tiếp khách+ gia vị nấu ăn + giấy vệ sinh (nhà cô Phượng)</t>
  </si>
  <si>
    <t>Chi phí mua dụng cụ nhà bếp</t>
  </si>
  <si>
    <t>Quá hạn 7 ngày</t>
  </si>
  <si>
    <t>Chi phí tiền cơm của a Tín từ ngày 08/04 đến 18/04 (11 ngày)</t>
  </si>
  <si>
    <t>Chi phí tiền cơm của a Khắc Trung từ ngày 11/04 đến 18/04</t>
  </si>
  <si>
    <t>Chi phí tiền cơm của a Tân từ ngày 11/04 đến 18/04</t>
  </si>
  <si>
    <t>Chi phí tiền cơm của a Vinh từ ngày 09/04 đến 18/04</t>
  </si>
  <si>
    <t>Chi phí tiền cơm của cô Lan từ ngày 09/04 đến 18/04</t>
  </si>
  <si>
    <t>Chi phí tiền cơm của Thoa từ ngày 11/04 đến 18/04</t>
  </si>
  <si>
    <t>Chi phí tiền cơm của a Thông từ ngày 06/04 đến 18/04 (13 ngày)</t>
  </si>
  <si>
    <t>Chi phí tiền ăn của a Toàn 6 ngày</t>
  </si>
  <si>
    <t>Chi phí tiền ăn của a Kiên 4 ngày</t>
  </si>
  <si>
    <t>Chi phí tiền ăn của a Trung Trắc Đạc 7 ngày</t>
  </si>
  <si>
    <t>Chi phí tiền ăn của a Huệ đến ngày 18/04</t>
  </si>
  <si>
    <t>Chi phí tiền ăn của a Việt từ ngày 15/04 đến ngày 18/05</t>
  </si>
  <si>
    <t>Chi phí tiền ăn của a Bảo từ ngày 15/04 đến ngày 18/05</t>
  </si>
  <si>
    <t>Thanh toán tiền mua dầu cấp máy đào 07</t>
  </si>
  <si>
    <t>Quá hạn 6 ngày</t>
  </si>
  <si>
    <t>Thanh toán tiền mua dầu cấp máy đào 07 và 09</t>
  </si>
  <si>
    <t>Quá hạn 5 ngày</t>
  </si>
  <si>
    <t>Quá hạn 4 ngày</t>
  </si>
  <si>
    <t>Thanh toán tiền mua dầu cấp máy đào 09</t>
  </si>
  <si>
    <t>Quá hạn 3 ngày</t>
  </si>
  <si>
    <t>Quá hạn 2 ngày</t>
  </si>
  <si>
    <t>Quá hạn 1 ngày</t>
  </si>
  <si>
    <t>Còn 0 ngày</t>
  </si>
  <si>
    <t>Còn 3 ngày</t>
  </si>
  <si>
    <t>Chi phí thuê xe ô tô chở bé Linh và Danh ở CT-ĐH xuống dự án</t>
  </si>
  <si>
    <t>Chi phí mua nệm cho 2 bé Linh và Danh</t>
  </si>
  <si>
    <t>Chi phí thuê nhân công bốc hàng xuống ở dự án HCM-TL-MT</t>
  </si>
  <si>
    <t>Chi phí book grab cho a Kiên đi Sài Gòn</t>
  </si>
  <si>
    <t>Chi phí mua đồ bếp</t>
  </si>
  <si>
    <t>Chi phí a Tín đi scan giấy và photo</t>
  </si>
  <si>
    <t>Chi phí thuê nhân công lắp ráp bàn ghế dự án</t>
  </si>
  <si>
    <t>Chi phí mua bánh kẹo nước suối tiếp đoàn CT</t>
  </si>
  <si>
    <t>Thanh toán chi phí thuê xe vận chuyển đồ ở CT-ĐH xuống dự án HCM-TL-MT</t>
  </si>
  <si>
    <t>Chi phí viếng tang+lãng hoa của bố a Hoàng P.GĐ BĐH Tổng Thầu</t>
  </si>
  <si>
    <t>Còn 2 ngày</t>
  </si>
  <si>
    <t>Chi phí a Trung mua vật tư</t>
  </si>
  <si>
    <t>Chi phí hỗ trợ trắc đạc thuê ngoài</t>
  </si>
  <si>
    <t>Chi phí tiếp khách bên Quốc Việt</t>
  </si>
  <si>
    <t>Chi phí a Trung mua đồ cho nhà bếp</t>
  </si>
  <si>
    <t>Chi phí cúng 16 ÂL ( nhằm ngày 02/05/2026 DL)</t>
  </si>
  <si>
    <t>Thanh toán tiền vé xe khách cho Mr Tân vào dự án nhận việc</t>
  </si>
  <si>
    <t>Chi phí mua dụng cụ nhà tắm+đồ bếp cho cô Lan</t>
  </si>
  <si>
    <t>Còn 5 ngày</t>
  </si>
  <si>
    <t>Chi phí Mr Danh đi công tác mời TVGS ăn cơm trưa 2 ngày 28-29/04</t>
  </si>
  <si>
    <t>Thiếu chứng từ (Pending Info):</t>
  </si>
  <si>
    <t>Quá hạn 46141 ngày</t>
  </si>
  <si>
    <t>📝 NHẬP CHI PHÍ PHÁT SINH HÀNG NGÀY</t>
  </si>
  <si>
    <t>Điền đầy đủ thông tin bên dưới → Kế toán sẽ kiểm tra tình trạng hồ sơ tự động</t>
  </si>
  <si>
    <t>📋 CHỨNG TỪ CẦN THIẾT THEO LOẠI CP</t>
  </si>
  <si>
    <t>Dấu thời gian</t>
  </si>
  <si>
    <t>📌 Dầu / Nhiên liệu</t>
  </si>
  <si>
    <t>1. Hóa đơn mua dầu
2. Nhật trình xe/máy
3. Giấy ĐNTT (BM05)</t>
  </si>
  <si>
    <t>Người gửi HS</t>
  </si>
  <si>
    <t>📌 Công tác phí</t>
  </si>
  <si>
    <t>Nhóm chi phí (Tài khoản)</t>
  </si>
  <si>
    <t>1. Kế hoạch CT được duyệt
2. Báo cáo KQ CT
3. Vé xe/HĐ lưu trú
4. Giấy đi đường</t>
  </si>
  <si>
    <t>Số tiền (VND)</t>
  </si>
  <si>
    <t>📌 Tiếp khách</t>
  </si>
  <si>
    <t>Tình trạng hồ sơ</t>
  </si>
  <si>
    <t>Mới nhận (New)</t>
  </si>
  <si>
    <t>1. GĐXTK được duyệt
2. Hóa đơn GTGT
3. Bảng kê CT TT (BM06)</t>
  </si>
  <si>
    <t>Ngày hoàn ứng dự kiến</t>
  </si>
  <si>
    <t>📌 Vận chuyển</t>
  </si>
  <si>
    <t>1. Hóa đơn/BB thuê xe
2. Hợp đồng (nếu có)
3. Giấy ĐNTT (BM05)</t>
  </si>
  <si>
    <t>File chứng từ (đính kèm)</t>
  </si>
  <si>
    <t>Ghi chú</t>
  </si>
  <si>
    <t>📌 Mua sắm &gt;20tr</t>
  </si>
  <si>
    <t>⚠️ BẮT BUỘC CHUYỂN KHOẢN
1. 3 báo giá NCC
2. HĐ + Thanh lý
3. BB giao nhận
4. Phiếu nhập kho</t>
  </si>
  <si>
    <t>💡 QUY TẮC NHẬP LIỆU QUAN TRỌNG</t>
  </si>
  <si>
    <t>🔴 HĐ ≥ 20.000.000 VND → BẮT BUỘC CHUYỂN KHOẢN (không được thanh toán tiền mặt)</t>
  </si>
  <si>
    <t>📌 Nhân công</t>
  </si>
  <si>
    <t>🔴 Còn tạm ứng chưa hoàn → KHÔNG được tạm ứng lần tiếp theo</t>
  </si>
  <si>
    <t>1. HĐ LĐ/giao khoán
2. CMT/CCCD công chứng
3. Bảng chấm công
4. Cam kết TN 1 nơi (Mẫu 08)</t>
  </si>
  <si>
    <t>🟡 Sau 5 ngày công tác về → phải nộp đầy đủ chứng từ hoàn ứng</t>
  </si>
  <si>
    <t>🟡 Trong 15 ngày sau khi kết thúc HĐ → phải thanh toán/hoàn ứng</t>
  </si>
  <si>
    <t>🟢 Đính kèm đủ chứng từ khi nộp → tránh bị trả hồ sơ</t>
  </si>
  <si>
    <t>🟢 Ghi rõ nội dung, tên người nhận, số tiền bằng số và bằng chữ</t>
  </si>
  <si>
    <t>🔍 TRA CỨU NHANH – CHỨNG TỪ &amp; QUY TRÌNH THEO LOẠI CHI PHÍ</t>
  </si>
  <si>
    <t>📌 Tìm kiếm loại chi phí → Xem ngay chứng từ cần chuẩn bị và quy trình thực hiện</t>
  </si>
  <si>
    <t>#</t>
  </si>
  <si>
    <t>Chứng từ bắt buộc</t>
  </si>
  <si>
    <t>Định mức / Lưu ý</t>
  </si>
  <si>
    <t>Thẩm quyền duyệt</t>
  </si>
  <si>
    <t>Deadline</t>
  </si>
  <si>
    <t>Biểu mẫu</t>
  </si>
  <si>
    <t>Cảnh báo đặc biệt</t>
  </si>
  <si>
    <t>Dầu / Nhiên liệu máy thi công</t>
  </si>
  <si>
    <t>• Hóa đơn mua dầu (hoặc phiếu thu tiền)
• Nhật trình xe/máy (BM.02)
• Giấy ĐNTT (BM05)</t>
  </si>
  <si>
    <t>• Lệnh điều xe/máy
• Phiếu giao nhận dầu</t>
  </si>
  <si>
    <t>Theo định mức phê duyệt; Đồng bằng H=1.1; Vùng núi H=1.35</t>
  </si>
  <si>
    <t>Trưởng BP → P.HCNS → KTT</t>
  </si>
  <si>
    <t>5 ngày đầu tháng sau</t>
  </si>
  <si>
    <t>BM.01+BM.02+BM05</t>
  </si>
  <si>
    <t>Công tác phí / Lưu trú</t>
  </si>
  <si>
    <t>• Kế hoạch CT được duyệt
• Giấy đề nghị cử đi CT
• Báo cáo KQ CT
• Vé tàu/xe/máy bay + HĐ (&gt;200k)
• Hóa đơn phòng lưu trú
• Giấy đi đường có dấu xác nhận</t>
  </si>
  <si>
    <t>• Bảng chấm công
• Xác nhận nơi đến công tác</t>
  </si>
  <si>
    <t>KV1 Nhóm B: ≤1tr đôi; Nhóm C: ≤700k đôi. Phụ cấp CT: B 200k/ngày, C 150k/ngày</t>
  </si>
  <si>
    <t>BM01+BM02+BM05</t>
  </si>
  <si>
    <t>Tiếp khách / Chiêu đãi</t>
  </si>
  <si>
    <t>• Giấy Đề Xuất Tiếp Khách (GĐXTK) được duyệt TRƯỚC khi thực hiện
• Hóa đơn GTGT từ nhà hàng
• Bảng kê chứng từ TT (BM06)
• Xác nhận của Trưởng BP bộ phận tiếp khách</t>
  </si>
  <si>
    <t>• Bảng kê chi tiết món ăn (nếu HĐ ăn uống)</t>
  </si>
  <si>
    <t>Phải gắn liền hiệu quả công việc; Mức chi theo QC hiện hành</t>
  </si>
  <si>
    <t>3 ngày sau tiếp khách</t>
  </si>
  <si>
    <t>BM05+BM06+GĐXTK</t>
  </si>
  <si>
    <t>⚠️ GĐXTK phải được duyệt TRƯỚC khi chi</t>
  </si>
  <si>
    <t>Thuê xe vận chuyển</t>
  </si>
  <si>
    <t>• Giấy ĐNTT (BM05)
• Hóa đơn GTGT
• Hợp đồng thuê xe (nếu có)
• Thanh lý HĐ</t>
  </si>
  <si>
    <t>• 3 báo giá nếu NCC chưa có HĐ
• Biên bản nghiệm thu</t>
  </si>
  <si>
    <t>Tuân thủ QĐ chung về thủ tục thanh toán</t>
  </si>
  <si>
    <t>3 ngày sau DV</t>
  </si>
  <si>
    <t>BM05+BM06</t>
  </si>
  <si>
    <t>⚠️ Giá trị ≥20tr → BẮT BUỘC chuyển khoản</t>
  </si>
  <si>
    <t>Mua sắm vật tư / NVL</t>
  </si>
  <si>
    <t>• Yêu cầu mua VT được duyệt
• 3 báo giá từ 3 NCC khác nhau
• Hợp đồng mua bán
• Hóa đơn GTGT
• Phiếu xuất kho bên bán (BB giao nhận)
• Phiếu nhập kho</t>
  </si>
  <si>
    <t>• Chứng chỉ CL, xuất xứ HH
• Phiếu bảo hành
• Chứng từ TT qua NH</t>
  </si>
  <si>
    <t>Ghi rõ gói thầu trên YC VT. Lần sau cần photo kép + xác nhận KL lũy kế đã mua</t>
  </si>
  <si>
    <t>BM05+Phiếu NK/XK</t>
  </si>
  <si>
    <t>⚠️ ≥20tr → CK bắt buộc | &gt;20tr → cần ≥3 báo giá</t>
  </si>
  <si>
    <t>Nhân công thuê ngoài</t>
  </si>
  <si>
    <t>• HĐ LĐ hoặc HĐ giao khoán
• CMT/CCCD bản công chứng
• Cam kết an toàn LĐ
• Bảng chấm công
• Bảng TT lương
• Cam kết TN 1 nơi (Mẫu 08/CK-TNCN)
• BB xác nhận KL công việc hoàn thành</t>
  </si>
  <si>
    <t>• Thủ tục thuế TNCN và BHBB</t>
  </si>
  <si>
    <t>Cam kết TN 1 nơi theo TT 80/2021/TT-BTC ban hành ngày 29/09/2021</t>
  </si>
  <si>
    <t>BM05+Mẫu08</t>
  </si>
  <si>
    <t>Thuê máy thi công</t>
  </si>
  <si>
    <t>• ĐNTT (BM05)
• HĐ thuê máy TC / HĐ giao khoán ca máy
• Sổ nhật trình máy
• Biên bản nghiệm thu
• Biên bản thanh lý
• Hóa đơn GTGT</t>
  </si>
  <si>
    <t>• Chứng từ khác nếu có</t>
  </si>
  <si>
    <t>Định mức theo dự toán được duyệt khi ký HĐ dự án</t>
  </si>
  <si>
    <t>BM05+BB Nghiệm thu</t>
  </si>
  <si>
    <t>Tạm ứng (mọi loại)</t>
  </si>
  <si>
    <t>• Giấy ĐN Tạm Ứng (BM01.QT06.01)
• Bảng kê dự trù CP (BM02) nếu ≥2 khoản
• Kế hoạch dự chi (nếu DA)
• Lệnh CT (nếu đi công tác)</t>
  </si>
  <si>
    <t>• Đề nghị mua hàng + báo giá (nếu TU mua hàng)</t>
  </si>
  <si>
    <t>Tạm ứng tối đa 70% lương. Không TU khi còn TU chưa hoàn</t>
  </si>
  <si>
    <t>Trưởng BP → KTT → BGĐ → Thủ quỹ</t>
  </si>
  <si>
    <t>15 ngày sau khi kết thúc HĐ</t>
  </si>
  <si>
    <t>BM01+BM02</t>
  </si>
  <si>
    <t>🔴 Còn TU chưa hoàn → KHÔNG được TU tiếp</t>
  </si>
  <si>
    <t>Hoàn ứng / Quyết toán TU</t>
  </si>
  <si>
    <t>• Phiếu ĐN TTTU (BM03.QT06.01)
• Bảng kê CT TTTU (BM04.QT06.01)
• Chứng từ, hóa đơn gốc đầy đủ</t>
  </si>
  <si>
    <t>• Giấy tờ liên quan đến từng khoản chi</t>
  </si>
  <si>
    <t>Trong 15 ngày sau kết thúc HĐ. CT về 5 ngày phải nộp HS</t>
  </si>
  <si>
    <t>Người TU → Trưởng BP → KTTT → KTT → BGĐ</t>
  </si>
  <si>
    <t>15 ngày (CT: 5 ngày)</t>
  </si>
  <si>
    <t>BM03+BM04</t>
  </si>
  <si>
    <t>⚠️ Quá hạn → P.TCKT đề nghị P.HCNS giữ lương</t>
  </si>
  <si>
    <t>Lương &amp; BHXH</t>
  </si>
  <si>
    <t>• Bảng lương đã duyệt
• BCC; Bảng mềm tiền lương
• BHXH: Danh sách khoản phải nộp + C12-TS</t>
  </si>
  <si>
    <t>• Giấy ĐNTT lương (BM05.QT06.01)
• Bảng kỷ luật nếu có</t>
  </si>
  <si>
    <t>Tạm ứng tối đa 70% lương; BHXH trích theo tỷ lệ luật định</t>
  </si>
  <si>
    <t>Ngày 05 hàng tháng (bảng lương), ngày 10 (BHXH)</t>
  </si>
  <si>
    <t>C12-TS+BM05</t>
  </si>
  <si>
    <t>Mua sắm TSCD (≥30tr, &gt;1 năm)</t>
  </si>
  <si>
    <t>• Kế hoạch mua sắm/dự toán được duyệt
• 3 báo giá từ 3 NCC
• QĐ phê duyệt lựa chọn NCC
• HĐ + Thanh lý HĐ
• Hóa đơn GTGT
• BB bàn giao TS
• Phiếu nhập kho</t>
  </si>
  <si>
    <t>• Phiếu bàn giao từ P.HCNS cho bộ phận SD</t>
  </si>
  <si>
    <t>3 báo giá giống về chủng loại, QC, đặc tính KT</t>
  </si>
  <si>
    <t>3 ngày sau mua hàng</t>
  </si>
  <si>
    <t>BM05+BB BG TSCD</t>
  </si>
  <si>
    <t>⚠️ ≥20tr → CK bắt buộc</t>
  </si>
  <si>
    <t>Điện nước / VP / Internet</t>
  </si>
  <si>
    <t>• Giấy ĐNTT (BM05)
• Hóa đơn GTGT
• Bảng kê CT TT (BM06) nếu ≥2 khoản</t>
  </si>
  <si>
    <t>3 ngày sau nhận HĐ</t>
  </si>
  <si>
    <t>💰 BẢNG TỔNG HỢP ĐỊNH MỨC CHI PHÍ – QUY CHẾ CHI TIÊU NỘI BỘ</t>
  </si>
  <si>
    <t>Căn cứ: Quy chế chi tiêu nội bộ QC.01.THG.2025 ban hành kèm theo NQ 14/2025/NQ-HĐQT.THG ngày 15/09/2025</t>
  </si>
  <si>
    <t>1. ĐỊNH MỨC LƯU TRÚ ĐI CÔNG TÁC (đồng/ngày/phòng)</t>
  </si>
  <si>
    <t>Khu vực</t>
  </si>
  <si>
    <t>Loại phòng</t>
  </si>
  <si>
    <t>Nhóm A1</t>
  </si>
  <si>
    <t>Nhóm A2-A4</t>
  </si>
  <si>
    <t>Nhóm B</t>
  </si>
  <si>
    <t>Nhóm C</t>
  </si>
  <si>
    <t>KV1 (HN,HCM,HP,ĐN,CT,QN)</t>
  </si>
  <si>
    <t>Phòng đôi</t>
  </si>
  <si>
    <t>Theo HĐ TT</t>
  </si>
  <si>
    <t>≤ 2.000.000</t>
  </si>
  <si>
    <t>≤ 1.000.000</t>
  </si>
  <si>
    <t>≤ 700.000</t>
  </si>
  <si>
    <t>Phòng đơn</t>
  </si>
  <si>
    <t>≤ 1.200.000</t>
  </si>
  <si>
    <t>≤ 600.000</t>
  </si>
  <si>
    <t>Khu vực 02</t>
  </si>
  <si>
    <t>≤ 800.000</t>
  </si>
  <si>
    <t>≤ 500.000</t>
  </si>
  <si>
    <t>KV3 (Các tỉnh còn lại)</t>
  </si>
  <si>
    <t>≤ 400.000</t>
  </si>
  <si>
    <t>2. PHỤ CẤP CÔNG TÁC (đồng/ngày hoặc tháng)</t>
  </si>
  <si>
    <t>Loại CT</t>
  </si>
  <si>
    <t>Nhóm A</t>
  </si>
  <si>
    <t>Đơn vị</t>
  </si>
  <si>
    <t>Điều kiện</t>
  </si>
  <si>
    <t>Ngắn (&lt;15 ngày)</t>
  </si>
  <si>
    <t>KV1</t>
  </si>
  <si>
    <t>Không áp dụng</t>
  </si>
  <si>
    <t>200.000</t>
  </si>
  <si>
    <t>150.000</t>
  </si>
  <si>
    <t>đ/ngày</t>
  </si>
  <si>
    <t>Phải lưu trú qua đêm tại tỉnh khác</t>
  </si>
  <si>
    <t>KV2</t>
  </si>
  <si>
    <t>120.000</t>
  </si>
  <si>
    <t>Có xác nhận nơi đến, có BC KQ CT</t>
  </si>
  <si>
    <t>KV3</t>
  </si>
  <si>
    <t>100.000</t>
  </si>
  <si>
    <t>Dài (15-90 ngày)</t>
  </si>
  <si>
    <t>4.000.000</t>
  </si>
  <si>
    <t>3.000.000</t>
  </si>
  <si>
    <t>đ/tháng</t>
  </si>
  <si>
    <t>Kế hoạch CT đã duyệt</t>
  </si>
  <si>
    <t>2.400.000</t>
  </si>
  <si>
    <t>BC KQ CT hàng tháng</t>
  </si>
  <si>
    <t>2.000.000</t>
  </si>
  <si>
    <t>3. PHƯƠNG TIỆN DI CHUYỂN ĐI CÔNG TÁC</t>
  </si>
  <si>
    <t>Nhóm</t>
  </si>
  <si>
    <t>Phương tiện</t>
  </si>
  <si>
    <t>Nhóm A1 (Chủ tịch HĐQT)</t>
  </si>
  <si>
    <t>Máy bay hạng thương gia; Ô tô, tàu lửa hoặc PT khác</t>
  </si>
  <si>
    <t>Nhóm A2, A3, A4</t>
  </si>
  <si>
    <t>Máy bay hạng phổ thông; Ô tô, tàu lửa hoặc PT khác</t>
  </si>
  <si>
    <t>Nhóm B (GĐ TC, KTT)</t>
  </si>
  <si>
    <t>Máy bay giá rẻ; Ô tô, tàu lửa</t>
  </si>
  <si>
    <t>Thư ký/NV đi cùng TGĐ → áp dụng chế độ phù hợp</t>
  </si>
  <si>
    <t>Nhóm C (Chuyên viên, NV)</t>
  </si>
  <si>
    <t>Ô tô, tàu lửa, PT hạng thường</t>
  </si>
  <si>
    <t>4. PHÚC LỢI &amp; CHI PHÍ RỬA XE</t>
  </si>
  <si>
    <t>Chế độ phúc lợi</t>
  </si>
  <si>
    <t>Đối tượng</t>
  </si>
  <si>
    <t>Mức phúc lợi</t>
  </si>
  <si>
    <t>Kết hôn</t>
  </si>
  <si>
    <t>NLĐ đã ký HĐLĐ</t>
  </si>
  <si>
    <t>1.000.000 VND/lần</t>
  </si>
  <si>
    <t>Kết hôn hợp pháp; Chưa có đơn xin nghỉ việc</t>
  </si>
  <si>
    <t>Ngày 8/3 &amp; 20/10</t>
  </si>
  <si>
    <t>NLĐ nữ</t>
  </si>
  <si>
    <t>01 lẵng hoa chung</t>
  </si>
  <si>
    <t>Sinh con</t>
  </si>
  <si>
    <t>NLĐ nữ làm việc từ 2 năm trở lên</t>
  </si>
  <si>
    <t>1.000.000 VND/cháu</t>
  </si>
  <si>
    <t>Hỗ trợ ốm đau</t>
  </si>
  <si>
    <t>NLĐ ký HĐLĐ chính thức</t>
  </si>
  <si>
    <t>Nằm viện ≥5 ngày liên tục</t>
  </si>
  <si>
    <t>Phúng điếu, tang lễ</t>
  </si>
  <si>
    <t>NLĐ ký HĐLĐ</t>
  </si>
  <si>
    <t>TGĐ/HĐQT: 5tr; CBNV: 2tr; Bản thân NLĐ: 5tr</t>
  </si>
  <si>
    <t>Tứ thân phụ mẫu/vợ chồng/con</t>
  </si>
  <si>
    <t>Bếp ăn giữa ca</t>
  </si>
  <si>
    <t>NLĐ khối Công trường</t>
  </si>
  <si>
    <t>60.000 VND/người/ngày</t>
  </si>
  <si>
    <t>Bếp ăn công ty theo định mức suất ăn</t>
  </si>
  <si>
    <t>Khám SK định kỳ</t>
  </si>
  <si>
    <t>VP ≥12 tháng; CT theo LĐ/PL</t>
  </si>
  <si>
    <t>≤ 1.000.000 VND/người/năm</t>
  </si>
  <si>
    <t>Hỗ trợ về nghỉ Tết</t>
  </si>
  <si>
    <t>NLĐ khối CT chưa có đơn nghỉ</t>
  </si>
  <si>
    <t>&gt;1000km: 3tr; 500-1000km: 2tr; 250-500km: 1tr; 150-250km: 500k</t>
  </si>
  <si>
    <t>Xe đưa đón tập trung hoặc hỗ trợ theo quãng đường</t>
  </si>
  <si>
    <t>📊 QUY TRÌNH TẠM ỨNG – THANH TOÁN TẠM ỨNG – THANH TOÁN</t>
  </si>
  <si>
    <t>A. QUY TRÌNH TẠM ỨNG (Advance Payment Process)</t>
  </si>
  <si>
    <t>Bước</t>
  </si>
  <si>
    <t>Trách nhiệm</t>
  </si>
  <si>
    <t>Nội dung thực hiện</t>
  </si>
  <si>
    <t>Thời gian</t>
  </si>
  <si>
    <t>Biểu mẫu/CT</t>
  </si>
  <si>
    <t>Lưu ý quan trọng</t>
  </si>
  <si>
    <t>1</t>
  </si>
  <si>
    <t>Người đề nghị TU</t>
  </si>
  <si>
    <t>Lập Giấy ĐN Tạm Ứng (BM01): ghi đầy đủ thông tin, số tiền, lý do, thời hạn hoàn ứng, phương thức TT.
Kèm Bảng kê dự trù CP TU (BM02) nếu ≥2 khoản CP</t>
  </si>
  <si>
    <t>Trước ngày cần tiền</t>
  </si>
  <si>
    <t>BM01+BM02.QT06.01</t>
  </si>
  <si>
    <t>TU phục vụ DA phải có kế hoạch dự chi tháng; TU CT: kèm lệnh CT + kế hoạch CT; TU mua hàng: kèm đề nghị mua + báo giá</t>
  </si>
  <si>
    <t>2</t>
  </si>
  <si>
    <t>Trưởng phòng/Bộ phận</t>
  </si>
  <si>
    <t>Xem xét tính hợp lý của nhu cầu TU. Xác nhận thông tin, phê duyệt. Chịu trách nhiệm trước BGĐ về tính đúng đắn của hồ sơ</t>
  </si>
  <si>
    <t>Trong ngày</t>
  </si>
  <si>
    <t>BM01.QT06.01 (ký duyệt)</t>
  </si>
  <si>
    <t>Không TU nếu còn TU chưa hoàn từ đợt trước. Ghi rõ ý kiến nếu không chấp thuận</t>
  </si>
  <si>
    <t>3</t>
  </si>
  <si>
    <t>Kế toán thanh toán</t>
  </si>
  <si>
    <t>Kiểm tra tính hợp lệ của ĐNTU. Kiểm tra công nợ TU chưa quyết toán. Ghi nhận số liệu TU chưa QT. Ký xác nhận</t>
  </si>
  <si>
    <t>1 ngày làm việc</t>
  </si>
  <si>
    <t>BM01.QT06.01 (ký xác nhận)</t>
  </si>
  <si>
    <t>Từ chối nếu còn TU chưa hoàn. Thông báo ngay nếu có vướng mắc</t>
  </si>
  <si>
    <t>4</t>
  </si>
  <si>
    <t>KTT + BGĐ (hoặc người ủy quyền)</t>
  </si>
  <si>
    <t>KTT kiểm tra và duyệt chi TU về nguyên tắc. BGĐ kiểm tra và duyệt chi TU về chủ trương</t>
  </si>
  <si>
    <t>1 ngày (đột xuất: 0.5 ngày)</t>
  </si>
  <si>
    <t>BM01.QT06.01 (ký KTT + BGĐ)</t>
  </si>
  <si>
    <t>BGĐ chỉ phê duyệt TU phục vụ HĐKD, không phê duyệt TU cá nhân</t>
  </si>
  <si>
    <t>5</t>
  </si>
  <si>
    <t>Thủ quỹ + Người ĐNTU</t>
  </si>
  <si>
    <t>Thủ quỹ căn cứ ĐNTU đã duyệt thực hiện chi TU. Vào sổ quỹ, bảng kê chi tiết dự chi. Người ĐNTU ký nhận tiền</t>
  </si>
  <si>
    <t>Trong ngày sau khi duyệt</t>
  </si>
  <si>
    <t>Phiếu chi TU; Sổ Quỹ</t>
  </si>
  <si>
    <t>Chi đúng cho người đề nghị TU. Nếu chậm: P.TCKT thông báo các phòng ban</t>
  </si>
  <si>
    <t>6</t>
  </si>
  <si>
    <t>Sắp xếp hồ sơ, chứng từ. Cập nhật vào phần mềm kế toán. Lưu hồ sơ</t>
  </si>
  <si>
    <t>1 ngày</t>
  </si>
  <si>
    <t>Sổ Quỹ; Hồ sơ TU</t>
  </si>
  <si>
    <t>Lưu đầy đủ bản gốc hồ sơ</t>
  </si>
  <si>
    <t>B. QUY TRÌNH THANH TOÁN TẠM ỨNG (Advance Settlement)</t>
  </si>
  <si>
    <t>Cá nhân/Bộ phận đề nghị</t>
  </si>
  <si>
    <t>Trong 15 ngày từ khi kết thúc HĐ, lập Phiếu ĐN TTTU (BM03) kèm đầy đủ CT hợp lý. Liệt kê chi tiết các khoản CP + Bảng kê CT TTTU (BM04)</t>
  </si>
  <si>
    <t>Trong 15 ngày sau KT HĐ</t>
  </si>
  <si>
    <t>BM03+BM04+Chứng từ gốc</t>
  </si>
  <si>
    <t>Quá hạn 15 ngày không nộp → P.TCKT đề nghị P.HCNS giữ lương</t>
  </si>
  <si>
    <t>Kiểm tra tính hợp lý của hồ sơ TTTU. Xác nhận thông tin. Phê duyệt và chuyển hồ sơ cho KTTT</t>
  </si>
  <si>
    <t>BM03 (ký duyệt)</t>
  </si>
  <si>
    <t>Chịu trách nhiệm về tính đúng đắn của hồ sơ</t>
  </si>
  <si>
    <t>Tiếp nhận, kiểm tra hồ sơ, ký nháy. Kiểm tra công nợ TU. Xác thực số liệu cũ + phát sinh. Tính số sẽ TT bổ sung hoặc thu hồi</t>
  </si>
  <si>
    <t>2 ngày làm việc</t>
  </si>
  <si>
    <t>BM03 (ký xác nhận)+BM04</t>
  </si>
  <si>
    <t>Từ chối nếu CT không hợp lệ, không đúng QĐ</t>
  </si>
  <si>
    <t>KTT / BGĐ</t>
  </si>
  <si>
    <t>Kiểm tra hồ sơ TTTU (kể cả TU lương). Ký duyệt hồ sơ</t>
  </si>
  <si>
    <t>2 ngày (TTTU) / 3 ngày (TT)</t>
  </si>
  <si>
    <t>BM03 (ký duyệt KTT+BGĐ)</t>
  </si>
  <si>
    <t>KTT/BGĐ chịu trách nhiệm về QĐ TT/không TT</t>
  </si>
  <si>
    <t>Thủ quỹ</t>
  </si>
  <si>
    <t>Xử lý thu hoặc chi tiền sau TTTU. Thu hồi nếu TU chưa chi hết hoặc chi thêm nếu chi quá TU</t>
  </si>
  <si>
    <t>Phiếu thu/chi; Sổ Quỹ</t>
  </si>
  <si>
    <t>Thông báo kết quả cho người ĐNTTTU</t>
  </si>
  <si>
    <t>Đóng chứng từ, lưu hồ sơ. Sắp xếp hồ sơ, chứng từ</t>
  </si>
  <si>
    <t>Hồ sơ TTTU đã đóng</t>
  </si>
  <si>
    <t>Lưu đầy đủ bản gốc</t>
  </si>
  <si>
    <t>⏰ BẢNG NHẮC NHỞ DEADLINE &amp; CÔNG VIỆC ĐỊNH KỲ</t>
  </si>
  <si>
    <t>📅 LỊCH CÔNG VIỆC ĐỊNH KỲ HÀNG THÁNG</t>
  </si>
  <si>
    <t>Ngày/Thời gian</t>
  </si>
  <si>
    <t>Loại CV</t>
  </si>
  <si>
    <t>Nội dung</t>
  </si>
  <si>
    <t>Người thực hiện</t>
  </si>
  <si>
    <t>Người duyệt</t>
  </si>
  <si>
    <t>Trạng thái</t>
  </si>
  <si>
    <t>05 hàng tháng</t>
  </si>
  <si>
    <t>LƯƠNG</t>
  </si>
  <si>
    <t>Bảng lương gửi P.TCKT</t>
  </si>
  <si>
    <t>P.HCNS</t>
  </si>
  <si>
    <t>BGĐ</t>
  </si>
  <si>
    <t>Bảng lương cứng</t>
  </si>
  <si>
    <t>🔴 CAO</t>
  </si>
  <si>
    <t>Gửi trước ngày 05</t>
  </si>
  <si>
    <t>07 hàng tháng</t>
  </si>
  <si>
    <t>P.TCKT kiểm tra, gửi danh sách khấu trừ cho P.HCNS</t>
  </si>
  <si>
    <t>P.TCKT</t>
  </si>
  <si>
    <t>KTT</t>
  </si>
  <si>
    <t>Sau khi nhận bảng lương</t>
  </si>
  <si>
    <t>08 hàng tháng</t>
  </si>
  <si>
    <t>P.HCNS ký BGĐ duyệt chi lương</t>
  </si>
  <si>
    <t>09-10 hàng tháng</t>
  </si>
  <si>
    <t>P.HCNS gửi hồ sơ ngân hàng TT lương CBNV</t>
  </si>
  <si>
    <t>10 hàng tháng</t>
  </si>
  <si>
    <t>BHXH</t>
  </si>
  <si>
    <t>Nộp BHXH, BHYT, BHTN</t>
  </si>
  <si>
    <t>Trước ngày 10</t>
  </si>
  <si>
    <t>15 hàng tháng</t>
  </si>
  <si>
    <t>P.HCNS gửi bảng TH TT lương cho P.TCKT hạch toán</t>
  </si>
  <si>
    <t>Bảng TH lương</t>
  </si>
  <si>
    <t>🟡 TB</t>
  </si>
  <si>
    <t>28 hàng tháng</t>
  </si>
  <si>
    <t>VPP</t>
  </si>
  <si>
    <t>Ban TC-HC tổng hợp nhu cầu VPP tháng sau</t>
  </si>
  <si>
    <t>Ban TC-HC</t>
  </si>
  <si>
    <t>TGĐ</t>
  </si>
  <si>
    <t>KH mua VPP</t>
  </si>
  <si>
    <t>Gửi trước ngày 28</t>
  </si>
  <si>
    <t>5 ngày đầu tháng</t>
  </si>
  <si>
    <t>XE</t>
  </si>
  <si>
    <t>Lái xe quyết toán km + xăng tháng trước</t>
  </si>
  <si>
    <t>Lái xe</t>
  </si>
  <si>
    <t>Hàng tuần</t>
  </si>
  <si>
    <t>TẠM ỨNG</t>
  </si>
  <si>
    <t>KT thông báo tình hình công nợ TU cá nhân lên nhóm</t>
  </si>
  <si>
    <t>Kế toán</t>
  </si>
  <si>
    <t>File TU</t>
  </si>
  <si>
    <t>Đôn đốc hoàn ứng</t>
  </si>
  <si>
    <t>Sau 5 ngày CT về</t>
  </si>
  <si>
    <t>CÔNG TÁC</t>
  </si>
  <si>
    <t>Hoàn thiện chứng từ quyết toán CT phí</t>
  </si>
  <si>
    <t>Người đi CT</t>
  </si>
  <si>
    <t>Trưởng BP</t>
  </si>
  <si>
    <t>BM03+BM04.QT06.01</t>
  </si>
  <si>
    <t>Quá hạn → KT đề nghị giữ lương</t>
  </si>
  <si>
    <t>Trong 15 ngày</t>
  </si>
  <si>
    <t>Thanh toán/Hoàn ứng sau khi kết thúc HĐ</t>
  </si>
  <si>
    <t>Người TU</t>
  </si>
  <si>
    <t>KTT + BGĐ</t>
  </si>
  <si>
    <t>Trong 3 ngày</t>
  </si>
  <si>
    <t>THANH TOÁN</t>
  </si>
  <si>
    <t>Nộp hồ sơ TT điện nước, tiếp khách, VPP, CT phí</t>
  </si>
  <si>
    <t>Người đề nghị</t>
  </si>
  <si>
    <t>Trưởng BP → KTT</t>
  </si>
  <si>
    <t>Trong 5 ngày</t>
  </si>
  <si>
    <t>SỬA CHỮA</t>
  </si>
  <si>
    <t>Nộp hồ sơ TT sửa chữa xe, thiết bị</t>
  </si>
  <si>
    <t>Tháng 12</t>
  </si>
  <si>
    <t>Xây dựng định mức nhiên liệu cho từng xe năm sau</t>
  </si>
  <si>
    <t>Định mức NL</t>
  </si>
  <si>
    <t>🟢 THẤP</t>
  </si>
  <si>
    <t>Phối hợp P.KT, KSNB PC</t>
  </si>
  <si>
    <t>Hàng năm</t>
  </si>
  <si>
    <t>ĐỒNG PHỤC</t>
  </si>
  <si>
    <t>Kế hoạch cấp phát đồng phục, BHLĐ</t>
  </si>
  <si>
    <t>KH Đồng phục</t>
  </si>
  <si>
    <t>Trình TGĐ phê duyệt</t>
  </si>
  <si>
    <t>SỨC KHỎE</t>
  </si>
  <si>
    <t>Tổ chức khám sức khỏe định kỳ NLĐ</t>
  </si>
  <si>
    <t>VP: ≥12 tháng LV; CP ≤1tr/người</t>
  </si>
  <si>
    <t>📁 DANH MỤC BIỂU MẪU &amp; HỒ SƠ CẦN THIẾT</t>
  </si>
  <si>
    <t>Mã biểu mẫu</t>
  </si>
  <si>
    <t>Tên biểu mẫu / Hồ sơ</t>
  </si>
  <si>
    <t>Dùng khi nào</t>
  </si>
  <si>
    <t>Người lập</t>
  </si>
  <si>
    <t>Người lưu</t>
  </si>
  <si>
    <t>Phương pháp lưu</t>
  </si>
  <si>
    <t>BM01.QT06.01</t>
  </si>
  <si>
    <t>Giấy Đề Nghị Tạm Ứng</t>
  </si>
  <si>
    <t>Khi cần tạm ứng tiền cho bất kỳ mục đích gì</t>
  </si>
  <si>
    <t>Bản chính</t>
  </si>
  <si>
    <t>Ghi đầy đủ: số tiền, lý do, thời hạn hoàn ứng</t>
  </si>
  <si>
    <t>BM02.QT06.01</t>
  </si>
  <si>
    <t>Bảng Kê Dự Trù Chi Phí Tạm Ứng</t>
  </si>
  <si>
    <t>Kèm theo BM01 khi TU có ≥2 khoản chi phí</t>
  </si>
  <si>
    <t>Gạch chéo dòng không khai thông tin hết</t>
  </si>
  <si>
    <t>BM03.QT06.01</t>
  </si>
  <si>
    <t>Đề Nghị Thanh Toán Tạm Ứng</t>
  </si>
  <si>
    <t>Khi hoàn ứng / quyết toán tạm ứng</t>
  </si>
  <si>
    <t>Người đề nghị TTTU</t>
  </si>
  <si>
    <t>Liệt kê chi tiết chi phí + số tiền TTTU lần này</t>
  </si>
  <si>
    <t>BM04.QT06.01</t>
  </si>
  <si>
    <t>Bảng Kê Chứng Từ Thanh Toán Tạm Ứng</t>
  </si>
  <si>
    <t>Kèm theo BM03 khi TTTU</t>
  </si>
  <si>
    <t>Bản chính + CT gốc kèm theo</t>
  </si>
  <si>
    <t>Ghi rõ ngày/tháng/năm, số HĐ, số tiền (chưa VAT + VAT)</t>
  </si>
  <si>
    <t>Giấy Đề Nghị Thanh Toán</t>
  </si>
  <si>
    <t>Khi đề nghị thanh toán trực tiếp (không qua TU)</t>
  </si>
  <si>
    <t>Ghi rõ lý do, số tiền, hình thức TT (TM/CK)</t>
  </si>
  <si>
    <t>BM06.QT06.01</t>
  </si>
  <si>
    <t>Bảng Kê Chứng Từ Thanh Toán</t>
  </si>
  <si>
    <t>Kèm theo BM05 khi TT có ≥2 khoản chi phí</t>
  </si>
  <si>
    <t>BM.01 (Xe)</t>
  </si>
  <si>
    <t>Giấy Đề Nghị Sử Dụng Xe</t>
  </si>
  <si>
    <t>Khi cần dùng xe công ty đi công tác</t>
  </si>
  <si>
    <t>Bản gốc</t>
  </si>
  <si>
    <t>Đăng ký trước 1 ngày LV (ngoại tỉnh) / 30 phút (nội tỉnh)</t>
  </si>
  <si>
    <t>BM.02 (Xe)</t>
  </si>
  <si>
    <t>Nhật Trình Theo Dõi Tiêu Thụ Nhiên Liệu</t>
  </si>
  <si>
    <t>Mỗi chuyến đi xe, lái xe ghi trước và sau chuyến</t>
  </si>
  <si>
    <t>P.HCNS / P.TCKT</t>
  </si>
  <si>
    <t>Liên 1 giao KT; Liên 2 lưu cuốn</t>
  </si>
  <si>
    <t>Người dùng xe ký xác nhận số km thực tế</t>
  </si>
  <si>
    <t>GĐXTK</t>
  </si>
  <si>
    <t>Giấy Đề Xuất Tiếp Khách</t>
  </si>
  <si>
    <t>Trước khi tổ chức tiếp khách (phải duyệt TRƯỚC khi chi)</t>
  </si>
  <si>
    <t>Người đề nghị TK</t>
  </si>
  <si>
    <t>P.HCNS + P.TCKT</t>
  </si>
  <si>
    <t>⚠️ Phải được duyệt TRƯỚC khi thực hiện chi tiếp khách</t>
  </si>
  <si>
    <t>Chi Tiết Kết Quả Đóng BHXH/BHYT/BHTN</t>
  </si>
  <si>
    <t>Hàng tháng khi nộp BHXH</t>
  </si>
  <si>
    <t>Gửi P.TCKT trước ngày 10 hàng tháng</t>
  </si>
  <si>
    <t>Mẫu 08/CK-TNCN</t>
  </si>
  <si>
    <t>Cam Kết Thu Nhập 1 Nơi</t>
  </si>
  <si>
    <t>Khi ký HĐ nhân công tại công trình</t>
  </si>
  <si>
    <t>Người lao động</t>
  </si>
  <si>
    <t>Ban hành kèm TT 80/2021/TT-BTC ngày 29/09/2021</t>
  </si>
  <si>
    <t>BB Nghiệm Thu</t>
  </si>
  <si>
    <t>Biên Bản Nghiệm Thu Bàn Giao</t>
  </si>
  <si>
    <t>Sau khi hoàn thành cung cấp DV/hàng hóa/SC</t>
  </si>
  <si>
    <t>Các bên liên quan</t>
  </si>
  <si>
    <t>Ký đủ đại diện các bên</t>
  </si>
  <si>
    <t>BB Giao Nhận NVL</t>
  </si>
  <si>
    <t>Biên Bản Giao Nhận Vật Liệu từ NCC</t>
  </si>
  <si>
    <t>Khi nhận hàng từ nhà cung cấp</t>
  </si>
  <si>
    <t>Thủ kho + NCC</t>
  </si>
  <si>
    <t>Thủ kho</t>
  </si>
  <si>
    <t>Cuốn phiếu theo CT/DA</t>
  </si>
  <si>
    <t>Đối chiếu chủng loại, chất lượng theo HĐMB</t>
  </si>
  <si>
    <t>Phiếu Nhập Kho</t>
  </si>
  <si>
    <t>Phiếu Nhập Kho (PNK)</t>
  </si>
  <si>
    <t>Khi nhập VT vào kho</t>
  </si>
  <si>
    <t>In từ máy in kim; Mã chuẩn giữa KT và thủ kho</t>
  </si>
  <si>
    <t>Phiếu Xuất Kho</t>
  </si>
  <si>
    <t>Phiếu Xuất Kho (PXK)</t>
  </si>
  <si>
    <t>Khi xuất VT từ kho</t>
  </si>
  <si>
    <t>Đối chiếu theo PYC xuất vật tư</t>
  </si>
  <si>
    <t>Sổ Nhật Ký SC Xe</t>
  </si>
  <si>
    <t>Sổ Nhật Ký Theo Dõi Bảo Dưỡng, Sửa Chữa Xe</t>
  </si>
  <si>
    <t>Theo dõi mỗi lần bảo dưỡng/sửa chữa xe</t>
  </si>
  <si>
    <t>Lái xe / P.HCNS</t>
  </si>
  <si>
    <t>BB Bàn Giao Xe</t>
  </si>
  <si>
    <t>Biên Bản Bàn Giao Xe Ô Tô</t>
  </si>
  <si>
    <t>Khi bàn giao xe cho lái xe quản lý</t>
  </si>
  <si>
    <t>Khảo sát tình trạng ngoài, trong, dụng cụ, thiết bị</t>
  </si>
  <si>
    <t>👥 PHÂN NHÓM NHÂN SỰ THEO CHỨC VỤ VÀ CHỨC DANH</t>
  </si>
  <si>
    <t>Mã</t>
  </si>
  <si>
    <t>Chức danh</t>
  </si>
  <si>
    <t>Để áp dụng chế độ gì</t>
  </si>
  <si>
    <t>Nhóm A
(Quản lý cấp cao)</t>
  </si>
  <si>
    <t>A1</t>
  </si>
  <si>
    <t>Chủ tịch HĐQT</t>
  </si>
  <si>
    <t>Máy bay hạng thương gia; Lưu trú: Theo HĐ TT; Điện thoại: Theo HĐ TT; Máy tính: Theo HĐ TT</t>
  </si>
  <si>
    <t>A2</t>
  </si>
  <si>
    <t>Tổng Giám đốc</t>
  </si>
  <si>
    <t>Máy bay phổ thông; Lưu trú KV1: ≤2tr đôi; Máy tính: ≤25tr/chiếc</t>
  </si>
  <si>
    <t>A3</t>
  </si>
  <si>
    <t>Hội đồng quản trị</t>
  </si>
  <si>
    <t>Máy bay phổ thông; Lưu trú KV1: ≤2tr đôi</t>
  </si>
  <si>
    <t>A4</t>
  </si>
  <si>
    <t>Phó TGĐ; Trợ lý Chủ tịch HĐQT</t>
  </si>
  <si>
    <t>Nhóm B
(Quản lý cấp trung)</t>
  </si>
  <si>
    <t>B1</t>
  </si>
  <si>
    <t>Giám đốc Tài chính; Kế toán trưởng</t>
  </si>
  <si>
    <t>Máy bay GR; Lưu trú KV1: ≤1tr đôi; Phụ cấp CT KV1: 200k/ngày; Máy tính: ≤20tr/chiếc</t>
  </si>
  <si>
    <t>B2</t>
  </si>
  <si>
    <t>Giám đốc BĐHDA; Trưởng Ban chuyên môn</t>
  </si>
  <si>
    <t>B3</t>
  </si>
  <si>
    <t>Phó Giám đốc BĐHDA; Phó Ban/Phòng/Bộ phận</t>
  </si>
  <si>
    <t>Nhóm C
(Cấp cơ sở, Chuyên viên)</t>
  </si>
  <si>
    <t>C1</t>
  </si>
  <si>
    <t>Đội trưởng, Chỉ huy trưởng BĐHDA</t>
  </si>
  <si>
    <t>Ô tô/Tàu xe; Lưu trú KV1: ≤700k đôi; Phụ cấp CT KV1: 150k/ngày; Máy tính: ≤15tr/chiếc</t>
  </si>
  <si>
    <t>C2</t>
  </si>
  <si>
    <t>Chuyên viên nghiệp vụ (Kế hoạch, Dự toán, QLTB, KT, QL VT, HC-NS, Tuyển dụng, Tài chính, Pháp chế)</t>
  </si>
  <si>
    <t>C3</t>
  </si>
  <si>
    <t>NV IT, KH, Dự toán, KT Cầu/Đường/Hầm, QL VT, QLTB, NS, Pháp chế, Tài chính, KT, HC, Lễ tân, Văn thư</t>
  </si>
  <si>
    <t>C4-C12</t>
  </si>
  <si>
    <t>Phụ trách Tổ KH; Chuyên viên HC; Tổ trưởng/Tổ phó; Thợ chuyên ngành; Lao động phổ thông</t>
  </si>
  <si>
    <t>Ô tô/Tàu xe; Lưu trú KV1: ≤700k đôi; Phụ cấp CT KV1: 150k/ngày</t>
  </si>
  <si>
    <t>Gom hồ sơ, scan up lên trên nhóm hay gửi hồ sơ vào các thứ 2,3,5</t>
  </si>
  <si>
    <t>Nhân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</si>
</sst>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7A4D"/>
      <name val="Arial"/>
      <charset val="1"/>
    </font>
    <font>
      <b/>
      <sz val="10"/>
      <color rgb="FFC00000"/>
      <name val="Arial"/>
      <charset val="1"/>
    </font>
    <font>
      <b/>
      <sz val="10"/>
      <color rgb="FF7030A0"/>
      <name val="Arial"/>
      <charset val="1"/>
    </font>
    <font>
      <b/>
      <sz val="9"/>
      <color rgb="FFFFFFFF"/>
      <name val="Arial"/>
      <charset val="1"/>
    </font>
    <font>
      <sz val="10"/>
      <color rgb="FF404040"/>
      <name val="Arial"/>
      <charset val="1"/>
    </font>
    <font>
      <sz val="9"/>
      <name val="Arial"/>
      <charset val="1"/>
    </font>
    <font>
      <sz val="10"/>
      <color rgb="FF505050"/>
      <name val="Arial"/>
      <charset val="1"/>
    </font>
    <font>
      <b/>
      <sz val="10"/>
      <color rgb="FF1B3A6B"/>
      <name val="Arial"/>
      <charset val="1"/>
    </font>
    <font>
      <b/>
      <sz val="10"/>
      <color rgb="FFC55A11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1F7A4D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7F0D9"/>
      </patternFill>
    </fill>
    <fill>
      <patternFill patternType="solid">
        <fgColor rgb="FF404040"/>
        <bgColor rgb="FF505050"/>
      </patternFill>
    </fill>
    <fill>
      <patternFill patternType="solid">
        <fgColor rgb="FFBF0000"/>
        <bgColor rgb="FFC00000"/>
      </patternFill>
    </fill>
    <fill>
      <patternFill patternType="solid">
        <fgColor rgb="FFFFDAD9"/>
        <bgColor rgb="FFFCE4D6"/>
      </patternFill>
    </fill>
    <fill>
      <patternFill patternType="solid">
        <fgColor rgb="FFFFF2CC"/>
        <bgColor rgb="FFF7F0D9"/>
      </patternFill>
    </fill>
    <fill>
      <patternFill patternType="solid">
        <fgColor rgb="FFE2F0D9"/>
        <bgColor rgb="FFF7F0D9"/>
      </patternFill>
    </fill>
    <fill>
      <patternFill patternType="solid">
        <fgColor rgb="FFD6E4F7"/>
        <bgColor rgb="FFEAD9F7"/>
      </patternFill>
    </fill>
    <fill>
      <patternFill patternType="solid">
        <fgColor rgb="FFFFFFFF"/>
        <bgColor rgb="FFF2F2F2"/>
      </patternFill>
    </fill>
    <fill>
      <patternFill patternType="solid">
        <fgColor rgb="FFEAD9F7"/>
        <bgColor rgb="FFF7D9F7"/>
      </patternFill>
    </fill>
    <fill>
      <patternFill patternType="solid">
        <fgColor rgb="FFFCE4D6"/>
        <bgColor rgb="FFFFDAD9"/>
      </patternFill>
    </fill>
    <fill>
      <patternFill patternType="solid">
        <fgColor rgb="FFD9F7F7"/>
        <bgColor rgb="FFE2F0D9"/>
      </patternFill>
    </fill>
    <fill>
      <patternFill patternType="solid">
        <fgColor rgb="FFF7D9F7"/>
        <bgColor rgb="FFEAD9F7"/>
      </patternFill>
    </fill>
    <fill>
      <patternFill patternType="solid">
        <fgColor rgb="FFF7F0D9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9" fillId="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0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10" fillId="17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left" vertical="center" wrapText="1"/>
    </xf>
    <xf numFmtId="0" fontId="10" fillId="19" borderId="3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14" fontId="11" fillId="12" borderId="3" xfId="0" applyNumberFormat="1" applyFont="1" applyFill="1" applyBorder="1" applyAlignment="1">
      <alignment horizontal="center" vertical="center"/>
    </xf>
    <xf numFmtId="3" fontId="11" fillId="12" borderId="3" xfId="0" applyNumberFormat="1" applyFont="1" applyFill="1" applyBorder="1" applyAlignment="1">
      <alignment horizontal="right" vertical="center"/>
    </xf>
    <xf numFmtId="0" fontId="10" fillId="12" borderId="3" xfId="0" applyFont="1" applyFill="1" applyBorder="1" applyAlignment="1">
      <alignment horizontal="left" vertical="center" wrapText="1"/>
    </xf>
    <xf numFmtId="14" fontId="11" fillId="14" borderId="3" xfId="0" applyNumberFormat="1" applyFont="1" applyFill="1" applyBorder="1" applyAlignment="1">
      <alignment horizontal="center" vertical="center"/>
    </xf>
    <xf numFmtId="3" fontId="11" fillId="14" borderId="3" xfId="0" applyNumberFormat="1" applyFont="1" applyFill="1" applyBorder="1" applyAlignment="1">
      <alignment horizontal="right" vertical="center"/>
    </xf>
    <xf numFmtId="0" fontId="10" fillId="14" borderId="3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0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3" fontId="11" fillId="14" borderId="1" xfId="0" applyNumberFormat="1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16" fillId="7" borderId="1" xfId="0" applyNumberFormat="1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808000"/>
      <rgbColor rgb="FF800080"/>
      <rgbColor rgb="FF1F7A4D"/>
      <rgbColor rgb="FFEAD9F7"/>
      <rgbColor rgb="FF808080"/>
      <rgbColor rgb="FF9999FF"/>
      <rgbColor rgb="FF7030A0"/>
      <rgbColor rgb="FFFFF2CC"/>
      <rgbColor rgb="FFD9F7F7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0D9"/>
      <rgbColor rgb="FFFCE4D6"/>
      <rgbColor rgb="FFF7D9F7"/>
      <rgbColor rgb="FFCC99FF"/>
      <rgbColor rgb="FFFFDAD9"/>
      <rgbColor rgb="FF2E75B6"/>
      <rgbColor rgb="FF33CCCC"/>
      <rgbColor rgb="FF99CC00"/>
      <rgbColor rgb="FFFFCC00"/>
      <rgbColor rgb="FFFF9900"/>
      <rgbColor rgb="FFC55A11"/>
      <rgbColor rgb="FF505050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2"/>
  <sheetViews>
    <sheetView showGridLines="0" zoomScaleNormal="100" workbookViewId="0">
      <selection activeCell="Q8" sqref="Q8"/>
    </sheetView>
  </sheetViews>
  <sheetFormatPr defaultColWidth="8.5703125" defaultRowHeight="15" x14ac:dyDescent="0.25"/>
  <cols>
    <col min="1" max="1" width="5" customWidth="1"/>
    <col min="2" max="3" width="10" customWidth="1"/>
    <col min="4" max="4" width="5" customWidth="1"/>
    <col min="5" max="7" width="10" customWidth="1"/>
    <col min="8" max="9" width="5" customWidth="1"/>
    <col min="10" max="12" width="10" customWidth="1"/>
    <col min="13" max="13" width="5" customWidth="1"/>
    <col min="14" max="14" width="15" customWidth="1"/>
  </cols>
  <sheetData>
    <row r="1" spans="1:16" ht="49.5" customHeight="1" x14ac:dyDescent="0.25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ht="30" customHeight="1" x14ac:dyDescent="0.25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</row>
    <row r="4" spans="1:16" ht="27.75" customHeight="1" x14ac:dyDescent="0.25">
      <c r="A4" s="82" t="s">
        <v>2</v>
      </c>
      <c r="B4" s="82"/>
      <c r="C4" s="82"/>
      <c r="D4" s="82"/>
      <c r="E4" s="83" t="s">
        <v>3</v>
      </c>
      <c r="F4" s="83"/>
      <c r="G4" s="83"/>
      <c r="H4" s="83"/>
      <c r="I4" s="79" t="s">
        <v>4</v>
      </c>
      <c r="J4" s="79"/>
      <c r="K4" s="79"/>
      <c r="L4" s="79"/>
      <c r="M4" s="80" t="s">
        <v>5</v>
      </c>
      <c r="N4" s="80"/>
      <c r="O4" s="80"/>
      <c r="P4" s="80"/>
    </row>
    <row r="5" spans="1:16" ht="15" customHeight="1" x14ac:dyDescent="0.25">
      <c r="A5" s="77" t="s">
        <v>6</v>
      </c>
      <c r="B5" s="77"/>
      <c r="C5" s="77"/>
      <c r="D5" s="77"/>
      <c r="E5" s="77" t="s">
        <v>7</v>
      </c>
      <c r="F5" s="77"/>
      <c r="G5" s="77"/>
      <c r="H5" s="77"/>
      <c r="I5" s="77" t="s">
        <v>8</v>
      </c>
      <c r="J5" s="77"/>
      <c r="K5" s="77"/>
      <c r="L5" s="77"/>
      <c r="M5" s="77" t="s">
        <v>9</v>
      </c>
      <c r="N5" s="77"/>
      <c r="O5" s="77"/>
      <c r="P5" s="77"/>
    </row>
    <row r="6" spans="1:16" x14ac:dyDescent="0.25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</row>
    <row r="7" spans="1:16" x14ac:dyDescent="0.2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</row>
    <row r="9" spans="1:16" ht="27.75" customHeight="1" x14ac:dyDescent="0.25">
      <c r="A9" s="78" t="s">
        <v>10</v>
      </c>
      <c r="B9" s="78"/>
      <c r="C9" s="78"/>
      <c r="D9" s="78"/>
      <c r="E9" s="79" t="s">
        <v>11</v>
      </c>
      <c r="F9" s="79"/>
      <c r="G9" s="79"/>
      <c r="H9" s="79"/>
      <c r="I9" s="80" t="s">
        <v>12</v>
      </c>
      <c r="J9" s="80"/>
      <c r="K9" s="80"/>
      <c r="L9" s="80"/>
      <c r="M9" s="81" t="s">
        <v>13</v>
      </c>
      <c r="N9" s="81"/>
      <c r="O9" s="81"/>
      <c r="P9" s="81"/>
    </row>
    <row r="10" spans="1:16" ht="15" customHeight="1" x14ac:dyDescent="0.25">
      <c r="A10" s="77" t="s">
        <v>14</v>
      </c>
      <c r="B10" s="77"/>
      <c r="C10" s="77"/>
      <c r="D10" s="77"/>
      <c r="E10" s="77" t="s">
        <v>15</v>
      </c>
      <c r="F10" s="77"/>
      <c r="G10" s="77"/>
      <c r="H10" s="77"/>
      <c r="I10" s="77" t="s">
        <v>16</v>
      </c>
      <c r="J10" s="77"/>
      <c r="K10" s="77"/>
      <c r="L10" s="77"/>
      <c r="M10" s="77" t="s">
        <v>17</v>
      </c>
      <c r="N10" s="77"/>
      <c r="O10" s="77"/>
      <c r="P10" s="77"/>
    </row>
    <row r="11" spans="1:16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</row>
    <row r="12" spans="1:16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</row>
    <row r="15" spans="1:16" ht="24.75" customHeight="1" x14ac:dyDescent="0.25">
      <c r="A15" s="68" t="s">
        <v>18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</row>
    <row r="16" spans="1:16" ht="19.5" customHeight="1" x14ac:dyDescent="0.25">
      <c r="A16" s="76" t="s">
        <v>19</v>
      </c>
      <c r="B16" s="76"/>
      <c r="C16" s="76"/>
      <c r="D16" s="69" t="s">
        <v>20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</row>
    <row r="17" spans="1:16" ht="19.5" customHeight="1" x14ac:dyDescent="0.25">
      <c r="A17" s="76" t="s">
        <v>19</v>
      </c>
      <c r="B17" s="76"/>
      <c r="C17" s="76"/>
      <c r="D17" s="69" t="s">
        <v>21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</row>
    <row r="18" spans="1:16" ht="19.5" customHeight="1" x14ac:dyDescent="0.25">
      <c r="A18" s="75" t="s">
        <v>22</v>
      </c>
      <c r="B18" s="75"/>
      <c r="C18" s="75"/>
      <c r="D18" s="71" t="s">
        <v>23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</row>
    <row r="19" spans="1:16" ht="19.5" customHeight="1" x14ac:dyDescent="0.25">
      <c r="A19" s="75" t="s">
        <v>22</v>
      </c>
      <c r="B19" s="75"/>
      <c r="C19" s="75"/>
      <c r="D19" s="71" t="s">
        <v>24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</row>
    <row r="20" spans="1:16" ht="19.5" customHeight="1" x14ac:dyDescent="0.25">
      <c r="A20" s="67" t="s">
        <v>25</v>
      </c>
      <c r="B20" s="67"/>
      <c r="C20" s="67"/>
      <c r="D20" s="73" t="s">
        <v>26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spans="1:16" ht="19.5" customHeight="1" x14ac:dyDescent="0.25">
      <c r="A21" s="67" t="s">
        <v>25</v>
      </c>
      <c r="B21" s="67"/>
      <c r="C21" s="67"/>
      <c r="D21" s="73" t="s">
        <v>27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spans="1:16" x14ac:dyDescent="0.25">
      <c r="A22" s="67" t="s">
        <v>25</v>
      </c>
      <c r="B22" s="67"/>
      <c r="C22" s="67"/>
      <c r="D22" s="73" t="s">
        <v>896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</sheetData>
  <mergeCells count="33">
    <mergeCell ref="A4:D4"/>
    <mergeCell ref="E4:H4"/>
    <mergeCell ref="I4:L4"/>
    <mergeCell ref="M4:P4"/>
    <mergeCell ref="A1:P1"/>
    <mergeCell ref="A2:P2"/>
    <mergeCell ref="A10:D12"/>
    <mergeCell ref="E10:H12"/>
    <mergeCell ref="I10:L12"/>
    <mergeCell ref="M10:P12"/>
    <mergeCell ref="A5:D7"/>
    <mergeCell ref="E5:H7"/>
    <mergeCell ref="I5:L7"/>
    <mergeCell ref="M5:P7"/>
    <mergeCell ref="A9:D9"/>
    <mergeCell ref="E9:H9"/>
    <mergeCell ref="I9:L9"/>
    <mergeCell ref="M9:P9"/>
    <mergeCell ref="A22:C22"/>
    <mergeCell ref="A15:P15"/>
    <mergeCell ref="D16:P16"/>
    <mergeCell ref="D17:P17"/>
    <mergeCell ref="D18:P18"/>
    <mergeCell ref="D19:P19"/>
    <mergeCell ref="D20:P20"/>
    <mergeCell ref="D21:P21"/>
    <mergeCell ref="D22:P22"/>
    <mergeCell ref="A19:C19"/>
    <mergeCell ref="A20:C20"/>
    <mergeCell ref="A21:C21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showGridLines="0" topLeftCell="B1" zoomScaleNormal="100" workbookViewId="0">
      <pane ySplit="2" topLeftCell="A3" activePane="bottomLeft" state="frozen"/>
      <selection pane="bottomLeft" activeCell="E21" sqref="E21"/>
    </sheetView>
  </sheetViews>
  <sheetFormatPr defaultColWidth="8.5703125" defaultRowHeight="15" x14ac:dyDescent="0.25"/>
  <cols>
    <col min="1" max="1" width="6" customWidth="1"/>
    <col min="2" max="2" width="16" customWidth="1"/>
    <col min="3" max="3" width="24" customWidth="1"/>
    <col min="4" max="4" width="40" customWidth="1"/>
    <col min="5" max="5" width="30" customWidth="1"/>
    <col min="6" max="6" width="40" customWidth="1"/>
    <col min="7" max="7" width="30" customWidth="1"/>
    <col min="8" max="8" width="16" customWidth="1"/>
    <col min="9" max="9" width="22" customWidth="1"/>
    <col min="10" max="10" width="18" customWidth="1"/>
  </cols>
  <sheetData>
    <row r="1" spans="1:10" ht="34.5" customHeight="1" x14ac:dyDescent="0.25">
      <c r="A1" s="86" t="s">
        <v>28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34.5" customHeight="1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</row>
    <row r="3" spans="1:10" ht="54.75" customHeight="1" x14ac:dyDescent="0.25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5" t="s">
        <v>45</v>
      </c>
      <c r="H3" s="8" t="s">
        <v>46</v>
      </c>
      <c r="I3" s="9" t="s">
        <v>47</v>
      </c>
      <c r="J3" s="10" t="s">
        <v>48</v>
      </c>
    </row>
    <row r="4" spans="1:10" ht="54.75" customHeight="1" x14ac:dyDescent="0.25">
      <c r="A4" s="2" t="s">
        <v>49</v>
      </c>
      <c r="B4" s="3" t="s">
        <v>40</v>
      </c>
      <c r="C4" s="4" t="s">
        <v>50</v>
      </c>
      <c r="D4" s="5" t="s">
        <v>51</v>
      </c>
      <c r="E4" s="6" t="s">
        <v>52</v>
      </c>
      <c r="F4" s="7" t="s">
        <v>53</v>
      </c>
      <c r="G4" s="5" t="s">
        <v>45</v>
      </c>
      <c r="H4" s="8" t="s">
        <v>54</v>
      </c>
      <c r="I4" s="9" t="s">
        <v>54</v>
      </c>
      <c r="J4" s="10" t="s">
        <v>48</v>
      </c>
    </row>
    <row r="5" spans="1:10" ht="54.75" customHeight="1" x14ac:dyDescent="0.25">
      <c r="A5" s="2" t="s">
        <v>55</v>
      </c>
      <c r="B5" s="3" t="s">
        <v>40</v>
      </c>
      <c r="C5" s="4" t="s">
        <v>56</v>
      </c>
      <c r="D5" s="5" t="s">
        <v>57</v>
      </c>
      <c r="E5" s="6" t="s">
        <v>58</v>
      </c>
      <c r="F5" s="7" t="s">
        <v>59</v>
      </c>
      <c r="G5" s="5" t="s">
        <v>45</v>
      </c>
      <c r="H5" s="8" t="s">
        <v>60</v>
      </c>
      <c r="I5" s="9" t="s">
        <v>60</v>
      </c>
      <c r="J5" s="10" t="s">
        <v>61</v>
      </c>
    </row>
    <row r="6" spans="1:10" ht="54.75" customHeight="1" x14ac:dyDescent="0.25">
      <c r="A6" s="2" t="s">
        <v>62</v>
      </c>
      <c r="B6" s="3" t="s">
        <v>40</v>
      </c>
      <c r="C6" s="4" t="s">
        <v>63</v>
      </c>
      <c r="D6" s="5" t="s">
        <v>64</v>
      </c>
      <c r="E6" s="6" t="s">
        <v>65</v>
      </c>
      <c r="F6" s="7" t="s">
        <v>66</v>
      </c>
      <c r="G6" s="5" t="s">
        <v>67</v>
      </c>
      <c r="H6" s="8" t="s">
        <v>68</v>
      </c>
      <c r="I6" s="9" t="s">
        <v>69</v>
      </c>
      <c r="J6" s="10" t="s">
        <v>48</v>
      </c>
    </row>
    <row r="7" spans="1:10" ht="54.75" customHeight="1" x14ac:dyDescent="0.25">
      <c r="A7" s="11" t="s">
        <v>70</v>
      </c>
      <c r="B7" s="12" t="s">
        <v>71</v>
      </c>
      <c r="C7" s="13" t="s">
        <v>72</v>
      </c>
      <c r="D7" s="5" t="s">
        <v>73</v>
      </c>
      <c r="E7" s="6" t="s">
        <v>74</v>
      </c>
      <c r="F7" s="7" t="s">
        <v>75</v>
      </c>
      <c r="G7" s="5" t="s">
        <v>76</v>
      </c>
      <c r="H7" s="8" t="s">
        <v>77</v>
      </c>
      <c r="I7" s="9" t="s">
        <v>78</v>
      </c>
      <c r="J7" s="10" t="s">
        <v>79</v>
      </c>
    </row>
    <row r="8" spans="1:10" ht="54.75" customHeight="1" x14ac:dyDescent="0.25">
      <c r="A8" s="11" t="s">
        <v>80</v>
      </c>
      <c r="B8" s="12" t="s">
        <v>71</v>
      </c>
      <c r="C8" s="13" t="s">
        <v>81</v>
      </c>
      <c r="D8" s="5" t="s">
        <v>82</v>
      </c>
      <c r="E8" s="6" t="s">
        <v>83</v>
      </c>
      <c r="F8" s="7" t="s">
        <v>84</v>
      </c>
      <c r="G8" s="5" t="s">
        <v>76</v>
      </c>
      <c r="H8" s="8" t="s">
        <v>85</v>
      </c>
      <c r="I8" s="9" t="s">
        <v>78</v>
      </c>
      <c r="J8" s="10" t="s">
        <v>48</v>
      </c>
    </row>
    <row r="9" spans="1:10" ht="54.75" customHeight="1" x14ac:dyDescent="0.25">
      <c r="A9" s="11" t="s">
        <v>86</v>
      </c>
      <c r="B9" s="12" t="s">
        <v>71</v>
      </c>
      <c r="C9" s="13" t="s">
        <v>87</v>
      </c>
      <c r="D9" s="5" t="s">
        <v>88</v>
      </c>
      <c r="E9" s="6" t="s">
        <v>89</v>
      </c>
      <c r="F9" s="7" t="s">
        <v>90</v>
      </c>
      <c r="G9" s="5" t="s">
        <v>76</v>
      </c>
      <c r="H9" s="8" t="s">
        <v>85</v>
      </c>
      <c r="I9" s="9" t="s">
        <v>78</v>
      </c>
      <c r="J9" s="10" t="s">
        <v>48</v>
      </c>
    </row>
    <row r="10" spans="1:10" ht="54.75" customHeight="1" x14ac:dyDescent="0.25">
      <c r="A10" s="11" t="s">
        <v>91</v>
      </c>
      <c r="B10" s="12" t="s">
        <v>71</v>
      </c>
      <c r="C10" s="13" t="s">
        <v>92</v>
      </c>
      <c r="D10" s="5" t="s">
        <v>93</v>
      </c>
      <c r="E10" s="6" t="s">
        <v>94</v>
      </c>
      <c r="F10" s="7" t="s">
        <v>95</v>
      </c>
      <c r="G10" s="5" t="s">
        <v>96</v>
      </c>
      <c r="H10" s="8" t="s">
        <v>85</v>
      </c>
      <c r="I10" s="9" t="s">
        <v>78</v>
      </c>
      <c r="J10" s="10" t="s">
        <v>48</v>
      </c>
    </row>
    <row r="11" spans="1:10" ht="54.75" customHeight="1" x14ac:dyDescent="0.25">
      <c r="A11" s="14" t="s">
        <v>97</v>
      </c>
      <c r="B11" s="15" t="s">
        <v>98</v>
      </c>
      <c r="C11" s="16" t="s">
        <v>99</v>
      </c>
      <c r="D11" s="5" t="s">
        <v>100</v>
      </c>
      <c r="E11" s="6" t="s">
        <v>101</v>
      </c>
      <c r="F11" s="7" t="s">
        <v>102</v>
      </c>
      <c r="G11" s="5" t="s">
        <v>103</v>
      </c>
      <c r="H11" s="8" t="s">
        <v>85</v>
      </c>
      <c r="I11" s="9" t="s">
        <v>104</v>
      </c>
      <c r="J11" s="10" t="s">
        <v>105</v>
      </c>
    </row>
    <row r="12" spans="1:10" ht="54.75" customHeight="1" x14ac:dyDescent="0.25">
      <c r="A12" s="14" t="s">
        <v>106</v>
      </c>
      <c r="B12" s="15" t="s">
        <v>98</v>
      </c>
      <c r="C12" s="16" t="s">
        <v>107</v>
      </c>
      <c r="D12" s="5" t="s">
        <v>108</v>
      </c>
      <c r="E12" s="6" t="s">
        <v>109</v>
      </c>
      <c r="F12" s="7" t="s">
        <v>110</v>
      </c>
      <c r="G12" s="5" t="s">
        <v>111</v>
      </c>
      <c r="H12" s="8" t="s">
        <v>112</v>
      </c>
      <c r="I12" s="9" t="s">
        <v>113</v>
      </c>
      <c r="J12" s="10" t="s">
        <v>105</v>
      </c>
    </row>
    <row r="13" spans="1:10" ht="54.75" customHeight="1" x14ac:dyDescent="0.25">
      <c r="A13" s="17" t="s">
        <v>114</v>
      </c>
      <c r="B13" s="18" t="s">
        <v>115</v>
      </c>
      <c r="C13" s="6" t="s">
        <v>116</v>
      </c>
      <c r="D13" s="5" t="s">
        <v>117</v>
      </c>
      <c r="E13" s="6" t="s">
        <v>58</v>
      </c>
      <c r="F13" s="7" t="s">
        <v>118</v>
      </c>
      <c r="G13" s="5" t="s">
        <v>67</v>
      </c>
      <c r="H13" s="8" t="s">
        <v>85</v>
      </c>
      <c r="I13" s="9" t="s">
        <v>119</v>
      </c>
      <c r="J13" s="10" t="s">
        <v>48</v>
      </c>
    </row>
    <row r="14" spans="1:10" ht="54.75" customHeight="1" x14ac:dyDescent="0.25">
      <c r="A14" s="17" t="s">
        <v>120</v>
      </c>
      <c r="B14" s="18" t="s">
        <v>115</v>
      </c>
      <c r="C14" s="6" t="s">
        <v>121</v>
      </c>
      <c r="D14" s="5" t="s">
        <v>122</v>
      </c>
      <c r="E14" s="6" t="s">
        <v>123</v>
      </c>
      <c r="F14" s="7" t="s">
        <v>124</v>
      </c>
      <c r="G14" s="5" t="s">
        <v>125</v>
      </c>
      <c r="H14" s="8" t="s">
        <v>85</v>
      </c>
      <c r="I14" s="9" t="s">
        <v>126</v>
      </c>
      <c r="J14" s="10" t="s">
        <v>48</v>
      </c>
    </row>
    <row r="15" spans="1:10" ht="54.75" customHeight="1" x14ac:dyDescent="0.25">
      <c r="A15" s="19" t="s">
        <v>127</v>
      </c>
      <c r="B15" s="20" t="s">
        <v>128</v>
      </c>
      <c r="C15" s="21" t="s">
        <v>129</v>
      </c>
      <c r="D15" s="5" t="s">
        <v>130</v>
      </c>
      <c r="E15" s="6" t="s">
        <v>131</v>
      </c>
      <c r="F15" s="7" t="s">
        <v>132</v>
      </c>
      <c r="G15" s="5" t="s">
        <v>133</v>
      </c>
      <c r="H15" s="8" t="s">
        <v>85</v>
      </c>
      <c r="I15" s="9" t="s">
        <v>134</v>
      </c>
      <c r="J15" s="10" t="s">
        <v>135</v>
      </c>
    </row>
    <row r="16" spans="1:10" ht="54.75" customHeight="1" x14ac:dyDescent="0.25">
      <c r="A16" s="19" t="s">
        <v>136</v>
      </c>
      <c r="B16" s="20" t="s">
        <v>128</v>
      </c>
      <c r="C16" s="21" t="s">
        <v>137</v>
      </c>
      <c r="D16" s="5" t="s">
        <v>138</v>
      </c>
      <c r="E16" s="6" t="s">
        <v>139</v>
      </c>
      <c r="F16" s="7" t="s">
        <v>140</v>
      </c>
      <c r="G16" s="5" t="s">
        <v>141</v>
      </c>
      <c r="H16" s="8" t="s">
        <v>112</v>
      </c>
      <c r="I16" s="9" t="s">
        <v>142</v>
      </c>
      <c r="J16" s="10" t="s">
        <v>48</v>
      </c>
    </row>
    <row r="17" spans="1:10" ht="54.75" customHeight="1" x14ac:dyDescent="0.25">
      <c r="A17" s="19" t="s">
        <v>143</v>
      </c>
      <c r="B17" s="20" t="s">
        <v>128</v>
      </c>
      <c r="C17" s="21" t="s">
        <v>144</v>
      </c>
      <c r="D17" s="5" t="s">
        <v>145</v>
      </c>
      <c r="E17" s="6" t="s">
        <v>58</v>
      </c>
      <c r="F17" s="7" t="s">
        <v>146</v>
      </c>
      <c r="G17" s="5" t="s">
        <v>147</v>
      </c>
      <c r="H17" s="8" t="s">
        <v>85</v>
      </c>
      <c r="I17" s="9" t="s">
        <v>148</v>
      </c>
      <c r="J17" s="10" t="s">
        <v>48</v>
      </c>
    </row>
    <row r="18" spans="1:10" ht="54.75" customHeight="1" x14ac:dyDescent="0.25">
      <c r="A18" s="22" t="s">
        <v>149</v>
      </c>
      <c r="B18" s="23" t="s">
        <v>150</v>
      </c>
      <c r="C18" s="7" t="s">
        <v>151</v>
      </c>
      <c r="D18" s="5" t="s">
        <v>152</v>
      </c>
      <c r="E18" s="6" t="s">
        <v>153</v>
      </c>
      <c r="F18" s="7" t="s">
        <v>154</v>
      </c>
      <c r="G18" s="5" t="s">
        <v>155</v>
      </c>
      <c r="H18" s="8" t="s">
        <v>85</v>
      </c>
      <c r="I18" s="9" t="s">
        <v>126</v>
      </c>
      <c r="J18" s="10" t="s">
        <v>48</v>
      </c>
    </row>
    <row r="19" spans="1:10" ht="54.75" customHeight="1" x14ac:dyDescent="0.25">
      <c r="A19" s="22" t="s">
        <v>156</v>
      </c>
      <c r="B19" s="23" t="s">
        <v>150</v>
      </c>
      <c r="C19" s="7" t="s">
        <v>157</v>
      </c>
      <c r="D19" s="5" t="s">
        <v>158</v>
      </c>
      <c r="E19" s="6" t="s">
        <v>159</v>
      </c>
      <c r="F19" s="7" t="s">
        <v>160</v>
      </c>
      <c r="G19" s="5" t="s">
        <v>155</v>
      </c>
      <c r="H19" s="8" t="s">
        <v>112</v>
      </c>
      <c r="I19" s="9" t="s">
        <v>142</v>
      </c>
      <c r="J19" s="10" t="s">
        <v>48</v>
      </c>
    </row>
    <row r="20" spans="1:10" ht="54.75" customHeight="1" x14ac:dyDescent="0.25">
      <c r="A20" s="24" t="s">
        <v>161</v>
      </c>
      <c r="B20" s="25" t="s">
        <v>162</v>
      </c>
      <c r="C20" s="26" t="s">
        <v>163</v>
      </c>
      <c r="D20" s="5" t="s">
        <v>164</v>
      </c>
      <c r="E20" s="6" t="s">
        <v>165</v>
      </c>
      <c r="F20" s="7" t="s">
        <v>166</v>
      </c>
      <c r="G20" s="5" t="s">
        <v>167</v>
      </c>
      <c r="H20" s="8" t="s">
        <v>168</v>
      </c>
      <c r="I20" s="9" t="s">
        <v>168</v>
      </c>
      <c r="J20" s="10" t="s">
        <v>48</v>
      </c>
    </row>
    <row r="21" spans="1:10" ht="54.75" customHeight="1" x14ac:dyDescent="0.25">
      <c r="A21" s="24" t="s">
        <v>169</v>
      </c>
      <c r="B21" s="25" t="s">
        <v>162</v>
      </c>
      <c r="C21" s="26" t="s">
        <v>170</v>
      </c>
      <c r="D21" s="5" t="s">
        <v>171</v>
      </c>
      <c r="E21" s="6" t="s">
        <v>172</v>
      </c>
      <c r="F21" s="7" t="s">
        <v>173</v>
      </c>
      <c r="G21" s="5" t="s">
        <v>167</v>
      </c>
      <c r="H21" s="8" t="s">
        <v>168</v>
      </c>
      <c r="I21" s="9" t="s">
        <v>168</v>
      </c>
      <c r="J21" s="10" t="s">
        <v>48</v>
      </c>
    </row>
    <row r="22" spans="1:10" ht="54.75" customHeight="1" x14ac:dyDescent="0.25">
      <c r="A22" s="24" t="s">
        <v>174</v>
      </c>
      <c r="B22" s="25" t="s">
        <v>162</v>
      </c>
      <c r="C22" s="26" t="s">
        <v>175</v>
      </c>
      <c r="D22" s="5" t="s">
        <v>176</v>
      </c>
      <c r="E22" s="6" t="s">
        <v>177</v>
      </c>
      <c r="F22" s="7" t="s">
        <v>178</v>
      </c>
      <c r="G22" s="5" t="s">
        <v>167</v>
      </c>
      <c r="H22" s="8" t="s">
        <v>168</v>
      </c>
      <c r="I22" s="9" t="s">
        <v>168</v>
      </c>
      <c r="J22" s="10" t="s">
        <v>48</v>
      </c>
    </row>
    <row r="23" spans="1:10" ht="54.75" customHeight="1" x14ac:dyDescent="0.25">
      <c r="A23" s="27" t="s">
        <v>179</v>
      </c>
      <c r="B23" s="28" t="s">
        <v>180</v>
      </c>
      <c r="C23" s="29" t="s">
        <v>181</v>
      </c>
      <c r="D23" s="5" t="s">
        <v>182</v>
      </c>
      <c r="E23" s="6" t="s">
        <v>58</v>
      </c>
      <c r="F23" s="7" t="s">
        <v>183</v>
      </c>
      <c r="G23" s="5" t="s">
        <v>67</v>
      </c>
      <c r="H23" s="8" t="s">
        <v>85</v>
      </c>
      <c r="I23" s="9" t="s">
        <v>184</v>
      </c>
      <c r="J23" s="10" t="s">
        <v>48</v>
      </c>
    </row>
    <row r="24" spans="1:10" ht="54.75" customHeight="1" x14ac:dyDescent="0.25">
      <c r="A24" s="27" t="s">
        <v>185</v>
      </c>
      <c r="B24" s="28" t="s">
        <v>180</v>
      </c>
      <c r="C24" s="29" t="s">
        <v>186</v>
      </c>
      <c r="D24" s="5" t="s">
        <v>187</v>
      </c>
      <c r="E24" s="6" t="s">
        <v>188</v>
      </c>
      <c r="F24" s="7" t="s">
        <v>189</v>
      </c>
      <c r="G24" s="5" t="s">
        <v>190</v>
      </c>
      <c r="H24" s="8" t="s">
        <v>85</v>
      </c>
      <c r="I24" s="9" t="s">
        <v>191</v>
      </c>
      <c r="J24" s="10" t="s">
        <v>48</v>
      </c>
    </row>
    <row r="25" spans="1:10" ht="54.75" customHeight="1" x14ac:dyDescent="0.25">
      <c r="A25" s="30" t="s">
        <v>192</v>
      </c>
      <c r="B25" s="31" t="s">
        <v>193</v>
      </c>
      <c r="C25" s="32" t="s">
        <v>194</v>
      </c>
      <c r="D25" s="5" t="s">
        <v>195</v>
      </c>
      <c r="E25" s="6" t="s">
        <v>58</v>
      </c>
      <c r="F25" s="7" t="s">
        <v>196</v>
      </c>
      <c r="G25" s="5" t="s">
        <v>45</v>
      </c>
      <c r="H25" s="8" t="s">
        <v>85</v>
      </c>
      <c r="I25" s="9" t="s">
        <v>184</v>
      </c>
      <c r="J25" s="10" t="s">
        <v>105</v>
      </c>
    </row>
    <row r="26" spans="1:10" ht="54.75" customHeight="1" x14ac:dyDescent="0.25">
      <c r="A26" s="33" t="s">
        <v>197</v>
      </c>
      <c r="B26" s="34" t="s">
        <v>198</v>
      </c>
      <c r="C26" s="35" t="s">
        <v>199</v>
      </c>
      <c r="D26" s="5" t="s">
        <v>200</v>
      </c>
      <c r="E26" s="6" t="s">
        <v>201</v>
      </c>
      <c r="F26" s="7" t="s">
        <v>202</v>
      </c>
      <c r="G26" s="5" t="s">
        <v>203</v>
      </c>
      <c r="H26" s="8" t="s">
        <v>85</v>
      </c>
      <c r="I26" s="9" t="s">
        <v>204</v>
      </c>
      <c r="J26" s="10" t="s">
        <v>105</v>
      </c>
    </row>
    <row r="27" spans="1:10" ht="54.75" customHeight="1" x14ac:dyDescent="0.25">
      <c r="A27" s="33" t="s">
        <v>205</v>
      </c>
      <c r="B27" s="34" t="s">
        <v>198</v>
      </c>
      <c r="C27" s="35" t="s">
        <v>206</v>
      </c>
      <c r="D27" s="5" t="s">
        <v>207</v>
      </c>
      <c r="E27" s="6" t="s">
        <v>58</v>
      </c>
      <c r="F27" s="7" t="s">
        <v>208</v>
      </c>
      <c r="G27" s="5" t="s">
        <v>203</v>
      </c>
      <c r="H27" s="8" t="s">
        <v>85</v>
      </c>
      <c r="I27" s="9" t="s">
        <v>204</v>
      </c>
      <c r="J27" s="10" t="s">
        <v>48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78"/>
  <sheetViews>
    <sheetView showGridLines="0" tabSelected="1" topLeftCell="K1" zoomScaleNormal="100" workbookViewId="0">
      <pane ySplit="3" topLeftCell="A4" activePane="bottomLeft" state="frozen"/>
      <selection pane="bottomLeft" sqref="A1:T3"/>
    </sheetView>
  </sheetViews>
  <sheetFormatPr defaultColWidth="8.5703125" defaultRowHeight="15" x14ac:dyDescent="0.25"/>
  <cols>
    <col min="1" max="1" width="13" customWidth="1"/>
    <col min="2" max="2" width="18" customWidth="1"/>
    <col min="3" max="3" width="12" customWidth="1"/>
    <col min="4" max="4" width="14" customWidth="1"/>
    <col min="5" max="5" width="38" customWidth="1"/>
    <col min="6" max="7" width="28" customWidth="1"/>
    <col min="8" max="10" width="14" customWidth="1"/>
    <col min="11" max="11" width="16" customWidth="1"/>
    <col min="12" max="12" width="20" customWidth="1"/>
    <col min="13" max="13" width="16" customWidth="1"/>
    <col min="14" max="15" width="18" customWidth="1"/>
    <col min="16" max="16" width="16" customWidth="1"/>
    <col min="17" max="17" width="10" customWidth="1"/>
    <col min="18" max="18" width="14" customWidth="1"/>
    <col min="19" max="19" width="16" customWidth="1"/>
    <col min="20" max="20" width="30" customWidth="1"/>
  </cols>
  <sheetData>
    <row r="1" spans="1:20" ht="34.5" customHeight="1" x14ac:dyDescent="0.25">
      <c r="A1" s="86" t="s">
        <v>209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25">
      <c r="A2" s="87" t="s">
        <v>210</v>
      </c>
      <c r="B2" s="87"/>
      <c r="C2" s="88" t="s">
        <v>211</v>
      </c>
      <c r="D2" s="88"/>
      <c r="E2" s="89" t="s">
        <v>212</v>
      </c>
      <c r="F2" s="89"/>
      <c r="G2" s="90" t="s">
        <v>213</v>
      </c>
      <c r="H2" s="90"/>
      <c r="I2" s="91" t="s">
        <v>214</v>
      </c>
      <c r="J2" s="91"/>
      <c r="K2" s="89" t="s">
        <v>215</v>
      </c>
      <c r="L2" s="89"/>
    </row>
    <row r="3" spans="1:20" ht="37.5" customHeight="1" x14ac:dyDescent="0.25">
      <c r="A3" s="36" t="s">
        <v>216</v>
      </c>
      <c r="B3" s="36" t="s">
        <v>217</v>
      </c>
      <c r="C3" s="36" t="s">
        <v>218</v>
      </c>
      <c r="D3" s="36" t="s">
        <v>219</v>
      </c>
      <c r="E3" s="36" t="s">
        <v>220</v>
      </c>
      <c r="F3" s="36" t="s">
        <v>221</v>
      </c>
      <c r="G3" s="36" t="s">
        <v>222</v>
      </c>
      <c r="H3" s="36" t="s">
        <v>223</v>
      </c>
      <c r="I3" s="36" t="s">
        <v>224</v>
      </c>
      <c r="J3" s="36" t="s">
        <v>225</v>
      </c>
      <c r="K3" s="36" t="s">
        <v>226</v>
      </c>
      <c r="L3" s="36" t="s">
        <v>227</v>
      </c>
      <c r="M3" s="36" t="s">
        <v>228</v>
      </c>
      <c r="N3" s="36" t="s">
        <v>229</v>
      </c>
      <c r="O3" s="36" t="s">
        <v>230</v>
      </c>
      <c r="P3" s="36" t="s">
        <v>231</v>
      </c>
      <c r="Q3" s="36" t="s">
        <v>232</v>
      </c>
      <c r="R3" s="36" t="s">
        <v>233</v>
      </c>
      <c r="S3" s="36" t="s">
        <v>234</v>
      </c>
      <c r="T3" s="36" t="s">
        <v>235</v>
      </c>
    </row>
    <row r="4" spans="1:20" ht="27.75" customHeight="1" x14ac:dyDescent="0.25">
      <c r="A4" s="37">
        <v>46101</v>
      </c>
      <c r="B4" s="13"/>
      <c r="C4" s="13" t="s">
        <v>236</v>
      </c>
      <c r="D4" s="13"/>
      <c r="E4" s="13" t="s">
        <v>237</v>
      </c>
      <c r="F4" s="13" t="s">
        <v>238</v>
      </c>
      <c r="G4" s="13" t="s">
        <v>239</v>
      </c>
      <c r="H4" s="38">
        <v>1000000</v>
      </c>
      <c r="I4" s="38">
        <v>1000000</v>
      </c>
      <c r="J4" s="37">
        <v>46101</v>
      </c>
      <c r="K4" s="13" t="s">
        <v>240</v>
      </c>
      <c r="L4" s="13" t="s">
        <v>241</v>
      </c>
      <c r="M4" s="13" t="s">
        <v>242</v>
      </c>
      <c r="N4" s="13"/>
      <c r="O4" s="13"/>
      <c r="P4" s="13"/>
      <c r="Q4" s="13" t="s">
        <v>243</v>
      </c>
      <c r="R4" s="13" t="s">
        <v>244</v>
      </c>
      <c r="S4" s="13"/>
      <c r="T4" s="39"/>
    </row>
    <row r="5" spans="1:20" ht="27.75" customHeight="1" x14ac:dyDescent="0.25">
      <c r="A5" s="40">
        <v>46102</v>
      </c>
      <c r="B5" s="5"/>
      <c r="C5" s="5"/>
      <c r="D5" s="5"/>
      <c r="E5" s="5" t="s">
        <v>245</v>
      </c>
      <c r="F5" s="5" t="s">
        <v>238</v>
      </c>
      <c r="G5" s="5" t="s">
        <v>246</v>
      </c>
      <c r="H5" s="41">
        <v>3525000</v>
      </c>
      <c r="I5" s="41">
        <v>3525000</v>
      </c>
      <c r="J5" s="40">
        <v>46102</v>
      </c>
      <c r="K5" s="5" t="s">
        <v>240</v>
      </c>
      <c r="L5" s="5" t="s">
        <v>247</v>
      </c>
      <c r="M5" s="5" t="s">
        <v>248</v>
      </c>
      <c r="N5" s="5"/>
      <c r="O5" s="5"/>
      <c r="P5" s="5"/>
      <c r="Q5" s="5" t="s">
        <v>249</v>
      </c>
      <c r="R5" s="5" t="s">
        <v>250</v>
      </c>
      <c r="S5" s="5"/>
      <c r="T5" s="42"/>
    </row>
    <row r="6" spans="1:20" ht="27.75" customHeight="1" x14ac:dyDescent="0.25">
      <c r="A6" s="40">
        <v>46102</v>
      </c>
      <c r="B6" s="5"/>
      <c r="C6" s="5"/>
      <c r="D6" s="5"/>
      <c r="E6" s="5" t="s">
        <v>251</v>
      </c>
      <c r="F6" s="5" t="s">
        <v>238</v>
      </c>
      <c r="G6" s="5" t="s">
        <v>252</v>
      </c>
      <c r="H6" s="41">
        <v>20000000</v>
      </c>
      <c r="I6" s="41">
        <v>20000000</v>
      </c>
      <c r="J6" s="40">
        <v>46102</v>
      </c>
      <c r="K6" s="5" t="s">
        <v>240</v>
      </c>
      <c r="L6" s="5"/>
      <c r="M6" s="5" t="s">
        <v>248</v>
      </c>
      <c r="N6" s="5"/>
      <c r="O6" s="5"/>
      <c r="P6" s="5"/>
      <c r="Q6" s="5" t="s">
        <v>253</v>
      </c>
      <c r="R6" s="5"/>
      <c r="S6" s="5"/>
      <c r="T6" s="42"/>
    </row>
    <row r="7" spans="1:20" ht="27.75" customHeight="1" x14ac:dyDescent="0.25">
      <c r="A7" s="40">
        <v>46102</v>
      </c>
      <c r="B7" s="5"/>
      <c r="C7" s="5"/>
      <c r="D7" s="5"/>
      <c r="E7" s="5" t="s">
        <v>254</v>
      </c>
      <c r="F7" s="5" t="s">
        <v>238</v>
      </c>
      <c r="G7" s="5" t="s">
        <v>255</v>
      </c>
      <c r="H7" s="41">
        <v>1680000</v>
      </c>
      <c r="I7" s="41">
        <v>1680000</v>
      </c>
      <c r="J7" s="40">
        <v>46102</v>
      </c>
      <c r="K7" s="5" t="s">
        <v>240</v>
      </c>
      <c r="L7" s="5"/>
      <c r="M7" s="5" t="s">
        <v>248</v>
      </c>
      <c r="N7" s="5"/>
      <c r="O7" s="5"/>
      <c r="P7" s="5"/>
      <c r="Q7" s="5" t="s">
        <v>256</v>
      </c>
      <c r="R7" s="5"/>
      <c r="S7" s="5"/>
      <c r="T7" s="42"/>
    </row>
    <row r="8" spans="1:20" ht="27.75" customHeight="1" x14ac:dyDescent="0.25">
      <c r="A8" s="40">
        <v>46102</v>
      </c>
      <c r="B8" s="5"/>
      <c r="C8" s="5"/>
      <c r="D8" s="5"/>
      <c r="E8" s="5" t="s">
        <v>257</v>
      </c>
      <c r="F8" s="5" t="s">
        <v>258</v>
      </c>
      <c r="G8" s="5" t="s">
        <v>259</v>
      </c>
      <c r="H8" s="41">
        <v>3342000</v>
      </c>
      <c r="I8" s="41">
        <v>3342000</v>
      </c>
      <c r="J8" s="40">
        <v>46102</v>
      </c>
      <c r="K8" s="5" t="s">
        <v>240</v>
      </c>
      <c r="L8" s="5"/>
      <c r="M8" s="5" t="s">
        <v>248</v>
      </c>
      <c r="N8" s="5"/>
      <c r="O8" s="5"/>
      <c r="P8" s="5"/>
      <c r="Q8" s="5"/>
      <c r="R8" s="5" t="s">
        <v>250</v>
      </c>
      <c r="S8" s="5"/>
      <c r="T8" s="42"/>
    </row>
    <row r="9" spans="1:20" ht="27.75" customHeight="1" x14ac:dyDescent="0.25">
      <c r="A9" s="40">
        <v>46102</v>
      </c>
      <c r="B9" s="5"/>
      <c r="C9" s="5"/>
      <c r="D9" s="5"/>
      <c r="E9" s="5" t="s">
        <v>260</v>
      </c>
      <c r="F9" s="5" t="s">
        <v>238</v>
      </c>
      <c r="G9" s="5" t="s">
        <v>261</v>
      </c>
      <c r="H9" s="41">
        <v>840000</v>
      </c>
      <c r="I9" s="41">
        <v>840000</v>
      </c>
      <c r="J9" s="40">
        <v>46102</v>
      </c>
      <c r="K9" s="5" t="s">
        <v>240</v>
      </c>
      <c r="L9" s="5"/>
      <c r="M9" s="5" t="s">
        <v>248</v>
      </c>
      <c r="N9" s="5"/>
      <c r="O9" s="5"/>
      <c r="P9" s="5"/>
      <c r="Q9" s="5"/>
      <c r="R9" s="5" t="s">
        <v>250</v>
      </c>
      <c r="S9" s="5"/>
      <c r="T9" s="42"/>
    </row>
    <row r="10" spans="1:20" ht="27.75" customHeight="1" x14ac:dyDescent="0.25">
      <c r="A10" s="40">
        <v>46102</v>
      </c>
      <c r="B10" s="5"/>
      <c r="C10" s="5"/>
      <c r="D10" s="5"/>
      <c r="E10" s="5" t="s">
        <v>262</v>
      </c>
      <c r="F10" s="5"/>
      <c r="G10" s="5"/>
      <c r="H10" s="41">
        <v>1440000</v>
      </c>
      <c r="I10" s="41">
        <v>1440000</v>
      </c>
      <c r="J10" s="40">
        <v>46102</v>
      </c>
      <c r="K10" s="5" t="s">
        <v>240</v>
      </c>
      <c r="L10" s="5"/>
      <c r="M10" s="5" t="s">
        <v>248</v>
      </c>
      <c r="N10" s="5"/>
      <c r="O10" s="5"/>
      <c r="P10" s="5"/>
      <c r="Q10" s="5"/>
      <c r="R10" s="5"/>
      <c r="S10" s="5"/>
      <c r="T10" s="42"/>
    </row>
    <row r="11" spans="1:20" ht="27.75" customHeight="1" x14ac:dyDescent="0.25">
      <c r="A11" s="40">
        <v>46103</v>
      </c>
      <c r="B11" s="5"/>
      <c r="C11" s="5"/>
      <c r="D11" s="5"/>
      <c r="E11" s="5" t="s">
        <v>263</v>
      </c>
      <c r="F11" s="5"/>
      <c r="G11" s="5"/>
      <c r="H11" s="41">
        <v>1671000</v>
      </c>
      <c r="I11" s="41">
        <v>1671000</v>
      </c>
      <c r="J11" s="40">
        <v>46103</v>
      </c>
      <c r="K11" s="5" t="s">
        <v>240</v>
      </c>
      <c r="L11" s="5"/>
      <c r="M11" s="5" t="s">
        <v>264</v>
      </c>
      <c r="N11" s="5"/>
      <c r="O11" s="5"/>
      <c r="P11" s="5"/>
      <c r="Q11" s="5"/>
      <c r="R11" s="5"/>
      <c r="S11" s="5"/>
      <c r="T11" s="42"/>
    </row>
    <row r="12" spans="1:20" ht="27.75" customHeight="1" x14ac:dyDescent="0.25">
      <c r="A12" s="40">
        <v>46104</v>
      </c>
      <c r="B12" s="5"/>
      <c r="C12" s="5"/>
      <c r="D12" s="5"/>
      <c r="E12" s="5" t="s">
        <v>265</v>
      </c>
      <c r="F12" s="5"/>
      <c r="G12" s="5"/>
      <c r="H12" s="41">
        <v>1355040</v>
      </c>
      <c r="I12" s="41">
        <v>1355040</v>
      </c>
      <c r="J12" s="40">
        <v>46104</v>
      </c>
      <c r="K12" s="5" t="s">
        <v>240</v>
      </c>
      <c r="L12" s="5"/>
      <c r="M12" s="5" t="s">
        <v>266</v>
      </c>
      <c r="N12" s="5"/>
      <c r="O12" s="5"/>
      <c r="P12" s="5"/>
      <c r="Q12" s="5"/>
      <c r="R12" s="5"/>
      <c r="S12" s="5"/>
      <c r="T12" s="42"/>
    </row>
    <row r="13" spans="1:20" ht="27.75" customHeight="1" x14ac:dyDescent="0.25">
      <c r="A13" s="40">
        <v>46104</v>
      </c>
      <c r="B13" s="5"/>
      <c r="C13" s="5"/>
      <c r="D13" s="5"/>
      <c r="E13" s="5" t="s">
        <v>267</v>
      </c>
      <c r="F13" s="5"/>
      <c r="G13" s="5"/>
      <c r="H13" s="41">
        <v>2520000</v>
      </c>
      <c r="I13" s="41">
        <v>2520000</v>
      </c>
      <c r="J13" s="40">
        <v>46104</v>
      </c>
      <c r="K13" s="5" t="s">
        <v>240</v>
      </c>
      <c r="L13" s="5"/>
      <c r="M13" s="5" t="s">
        <v>266</v>
      </c>
      <c r="N13" s="5"/>
      <c r="O13" s="5"/>
      <c r="P13" s="5"/>
      <c r="Q13" s="5"/>
      <c r="R13" s="5"/>
      <c r="S13" s="5"/>
      <c r="T13" s="42"/>
    </row>
    <row r="14" spans="1:20" ht="27.75" customHeight="1" x14ac:dyDescent="0.25">
      <c r="A14" s="40">
        <v>46104</v>
      </c>
      <c r="B14" s="5"/>
      <c r="C14" s="5"/>
      <c r="D14" s="5"/>
      <c r="E14" s="5" t="s">
        <v>268</v>
      </c>
      <c r="F14" s="5"/>
      <c r="G14" s="5"/>
      <c r="H14" s="41">
        <v>2920500</v>
      </c>
      <c r="I14" s="41">
        <v>2920500</v>
      </c>
      <c r="J14" s="40">
        <v>46104</v>
      </c>
      <c r="K14" s="5" t="s">
        <v>240</v>
      </c>
      <c r="L14" s="5"/>
      <c r="M14" s="5" t="s">
        <v>266</v>
      </c>
      <c r="N14" s="5"/>
      <c r="O14" s="5"/>
      <c r="P14" s="5"/>
      <c r="Q14" s="5"/>
      <c r="R14" s="5"/>
      <c r="S14" s="5"/>
      <c r="T14" s="42"/>
    </row>
    <row r="15" spans="1:20" ht="27.75" customHeight="1" x14ac:dyDescent="0.25">
      <c r="A15" s="40">
        <v>46105</v>
      </c>
      <c r="B15" s="5"/>
      <c r="C15" s="5"/>
      <c r="D15" s="5"/>
      <c r="E15" s="5" t="s">
        <v>269</v>
      </c>
      <c r="F15" s="5"/>
      <c r="G15" s="5"/>
      <c r="H15" s="41">
        <v>635000</v>
      </c>
      <c r="I15" s="41">
        <v>635000</v>
      </c>
      <c r="J15" s="40">
        <v>46105</v>
      </c>
      <c r="K15" s="5" t="s">
        <v>240</v>
      </c>
      <c r="L15" s="5"/>
      <c r="M15" s="5" t="s">
        <v>270</v>
      </c>
      <c r="N15" s="5"/>
      <c r="O15" s="5"/>
      <c r="P15" s="5"/>
      <c r="Q15" s="5"/>
      <c r="R15" s="5"/>
      <c r="S15" s="5"/>
      <c r="T15" s="42"/>
    </row>
    <row r="16" spans="1:20" ht="27.75" customHeight="1" x14ac:dyDescent="0.25">
      <c r="A16" s="40">
        <v>46105</v>
      </c>
      <c r="B16" s="5"/>
      <c r="C16" s="5"/>
      <c r="D16" s="5"/>
      <c r="E16" s="5" t="s">
        <v>271</v>
      </c>
      <c r="F16" s="5"/>
      <c r="G16" s="5"/>
      <c r="H16" s="41">
        <v>408000</v>
      </c>
      <c r="I16" s="41">
        <v>408000</v>
      </c>
      <c r="J16" s="40">
        <v>46105</v>
      </c>
      <c r="K16" s="5" t="s">
        <v>240</v>
      </c>
      <c r="L16" s="5"/>
      <c r="M16" s="5" t="s">
        <v>270</v>
      </c>
      <c r="N16" s="5"/>
      <c r="O16" s="5"/>
      <c r="P16" s="5"/>
      <c r="Q16" s="5"/>
      <c r="R16" s="5"/>
      <c r="S16" s="5"/>
      <c r="T16" s="42"/>
    </row>
    <row r="17" spans="1:20" ht="27.75" customHeight="1" x14ac:dyDescent="0.25">
      <c r="A17" s="40">
        <v>46105</v>
      </c>
      <c r="B17" s="5"/>
      <c r="C17" s="5"/>
      <c r="D17" s="5"/>
      <c r="E17" s="5" t="s">
        <v>263</v>
      </c>
      <c r="F17" s="5"/>
      <c r="G17" s="5"/>
      <c r="H17" s="41">
        <v>1671000</v>
      </c>
      <c r="I17" s="41">
        <v>1671000</v>
      </c>
      <c r="J17" s="40">
        <v>46105</v>
      </c>
      <c r="K17" s="5" t="s">
        <v>240</v>
      </c>
      <c r="L17" s="5"/>
      <c r="M17" s="5" t="s">
        <v>270</v>
      </c>
      <c r="N17" s="5"/>
      <c r="O17" s="5"/>
      <c r="P17" s="5"/>
      <c r="Q17" s="5"/>
      <c r="R17" s="5"/>
      <c r="S17" s="5"/>
      <c r="T17" s="42"/>
    </row>
    <row r="18" spans="1:20" ht="27.75" customHeight="1" x14ac:dyDescent="0.25">
      <c r="A18" s="40">
        <v>46105</v>
      </c>
      <c r="B18" s="5"/>
      <c r="C18" s="5"/>
      <c r="D18" s="5"/>
      <c r="E18" s="5" t="s">
        <v>272</v>
      </c>
      <c r="F18" s="5"/>
      <c r="G18" s="5"/>
      <c r="H18" s="41">
        <v>1330000</v>
      </c>
      <c r="I18" s="41">
        <v>1330000</v>
      </c>
      <c r="J18" s="40">
        <v>46105</v>
      </c>
      <c r="K18" s="5" t="s">
        <v>240</v>
      </c>
      <c r="L18" s="5"/>
      <c r="M18" s="5" t="s">
        <v>270</v>
      </c>
      <c r="N18" s="5"/>
      <c r="O18" s="5"/>
      <c r="P18" s="5"/>
      <c r="Q18" s="5"/>
      <c r="R18" s="5"/>
      <c r="S18" s="5"/>
      <c r="T18" s="42"/>
    </row>
    <row r="19" spans="1:20" ht="27.75" customHeight="1" x14ac:dyDescent="0.25">
      <c r="A19" s="40">
        <v>46106</v>
      </c>
      <c r="B19" s="5"/>
      <c r="C19" s="5"/>
      <c r="D19" s="5"/>
      <c r="E19" s="5" t="s">
        <v>273</v>
      </c>
      <c r="F19" s="5"/>
      <c r="G19" s="5"/>
      <c r="H19" s="41">
        <v>3015000</v>
      </c>
      <c r="I19" s="41">
        <v>3015000</v>
      </c>
      <c r="J19" s="40">
        <v>46106</v>
      </c>
      <c r="K19" s="5" t="s">
        <v>240</v>
      </c>
      <c r="L19" s="5"/>
      <c r="M19" s="5" t="s">
        <v>274</v>
      </c>
      <c r="N19" s="5"/>
      <c r="O19" s="5"/>
      <c r="P19" s="5"/>
      <c r="Q19" s="5"/>
      <c r="R19" s="5"/>
      <c r="S19" s="5"/>
      <c r="T19" s="42"/>
    </row>
    <row r="20" spans="1:20" ht="27.75" customHeight="1" x14ac:dyDescent="0.25">
      <c r="A20" s="40">
        <v>46106</v>
      </c>
      <c r="B20" s="5"/>
      <c r="C20" s="5"/>
      <c r="D20" s="5"/>
      <c r="E20" s="5" t="s">
        <v>275</v>
      </c>
      <c r="F20" s="5"/>
      <c r="G20" s="5"/>
      <c r="H20" s="41">
        <v>500000</v>
      </c>
      <c r="I20" s="41">
        <v>500000</v>
      </c>
      <c r="J20" s="40">
        <v>46106</v>
      </c>
      <c r="K20" s="5" t="s">
        <v>240</v>
      </c>
      <c r="L20" s="5"/>
      <c r="M20" s="5" t="s">
        <v>274</v>
      </c>
      <c r="N20" s="5"/>
      <c r="O20" s="5"/>
      <c r="P20" s="5"/>
      <c r="Q20" s="5"/>
      <c r="R20" s="5"/>
      <c r="S20" s="5"/>
      <c r="T20" s="42"/>
    </row>
    <row r="21" spans="1:20" ht="27.75" customHeight="1" x14ac:dyDescent="0.25">
      <c r="A21" s="40">
        <v>46106</v>
      </c>
      <c r="B21" s="5"/>
      <c r="C21" s="5"/>
      <c r="D21" s="5"/>
      <c r="E21" s="5" t="s">
        <v>276</v>
      </c>
      <c r="F21" s="5"/>
      <c r="G21" s="5"/>
      <c r="H21" s="41">
        <v>700000</v>
      </c>
      <c r="I21" s="41">
        <v>700000</v>
      </c>
      <c r="J21" s="40">
        <v>46106</v>
      </c>
      <c r="K21" s="5" t="s">
        <v>240</v>
      </c>
      <c r="L21" s="5"/>
      <c r="M21" s="5" t="s">
        <v>274</v>
      </c>
      <c r="N21" s="5"/>
      <c r="O21" s="5"/>
      <c r="P21" s="5"/>
      <c r="Q21" s="5"/>
      <c r="R21" s="5"/>
      <c r="S21" s="5"/>
      <c r="T21" s="42"/>
    </row>
    <row r="22" spans="1:20" ht="27.75" customHeight="1" x14ac:dyDescent="0.25">
      <c r="A22" s="40">
        <v>46106</v>
      </c>
      <c r="B22" s="5"/>
      <c r="C22" s="5"/>
      <c r="D22" s="5"/>
      <c r="E22" s="5" t="s">
        <v>277</v>
      </c>
      <c r="F22" s="5"/>
      <c r="G22" s="5"/>
      <c r="H22" s="41">
        <v>624000</v>
      </c>
      <c r="I22" s="41">
        <v>624000</v>
      </c>
      <c r="J22" s="40">
        <v>46106</v>
      </c>
      <c r="K22" s="5" t="s">
        <v>240</v>
      </c>
      <c r="L22" s="5"/>
      <c r="M22" s="5" t="s">
        <v>274</v>
      </c>
      <c r="N22" s="5"/>
      <c r="O22" s="5"/>
      <c r="P22" s="5"/>
      <c r="Q22" s="5"/>
      <c r="R22" s="5"/>
      <c r="S22" s="5"/>
      <c r="T22" s="42"/>
    </row>
    <row r="23" spans="1:20" ht="27.75" customHeight="1" x14ac:dyDescent="0.25">
      <c r="A23" s="40">
        <v>46106</v>
      </c>
      <c r="B23" s="5"/>
      <c r="C23" s="5"/>
      <c r="D23" s="5"/>
      <c r="E23" s="5" t="s">
        <v>278</v>
      </c>
      <c r="F23" s="5"/>
      <c r="G23" s="5"/>
      <c r="H23" s="41">
        <v>640000</v>
      </c>
      <c r="I23" s="41">
        <v>640000</v>
      </c>
      <c r="J23" s="40">
        <v>46106</v>
      </c>
      <c r="K23" s="5" t="s">
        <v>240</v>
      </c>
      <c r="L23" s="5"/>
      <c r="M23" s="5" t="s">
        <v>274</v>
      </c>
      <c r="N23" s="5"/>
      <c r="O23" s="5"/>
      <c r="P23" s="5"/>
      <c r="Q23" s="5"/>
      <c r="R23" s="5"/>
      <c r="S23" s="5"/>
      <c r="T23" s="42"/>
    </row>
    <row r="24" spans="1:20" ht="27.75" customHeight="1" x14ac:dyDescent="0.25">
      <c r="A24" s="40">
        <v>46106</v>
      </c>
      <c r="B24" s="5"/>
      <c r="C24" s="5"/>
      <c r="D24" s="5"/>
      <c r="E24" s="5" t="s">
        <v>272</v>
      </c>
      <c r="F24" s="5"/>
      <c r="G24" s="5"/>
      <c r="H24" s="41">
        <v>1575000</v>
      </c>
      <c r="I24" s="41">
        <v>1575000</v>
      </c>
      <c r="J24" s="40">
        <v>46106</v>
      </c>
      <c r="K24" s="5" t="s">
        <v>240</v>
      </c>
      <c r="L24" s="5"/>
      <c r="M24" s="5" t="s">
        <v>274</v>
      </c>
      <c r="N24" s="5"/>
      <c r="O24" s="5"/>
      <c r="P24" s="5"/>
      <c r="Q24" s="5"/>
      <c r="R24" s="5"/>
      <c r="S24" s="5"/>
      <c r="T24" s="42"/>
    </row>
    <row r="25" spans="1:20" ht="27.75" customHeight="1" x14ac:dyDescent="0.25">
      <c r="A25" s="40">
        <v>46106</v>
      </c>
      <c r="B25" s="5"/>
      <c r="C25" s="5"/>
      <c r="D25" s="5"/>
      <c r="E25" s="5" t="s">
        <v>279</v>
      </c>
      <c r="F25" s="5"/>
      <c r="G25" s="5"/>
      <c r="H25" s="41">
        <v>500000</v>
      </c>
      <c r="I25" s="41">
        <v>500000</v>
      </c>
      <c r="J25" s="40">
        <v>46106</v>
      </c>
      <c r="K25" s="5" t="s">
        <v>240</v>
      </c>
      <c r="L25" s="5"/>
      <c r="M25" s="5" t="s">
        <v>274</v>
      </c>
      <c r="N25" s="5"/>
      <c r="O25" s="5"/>
      <c r="P25" s="5"/>
      <c r="Q25" s="5"/>
      <c r="R25" s="5"/>
      <c r="S25" s="5"/>
      <c r="T25" s="42"/>
    </row>
    <row r="26" spans="1:20" ht="27.75" customHeight="1" x14ac:dyDescent="0.25">
      <c r="A26" s="40">
        <v>46107</v>
      </c>
      <c r="B26" s="5"/>
      <c r="C26" s="5"/>
      <c r="D26" s="5"/>
      <c r="E26" s="5" t="s">
        <v>280</v>
      </c>
      <c r="F26" s="5"/>
      <c r="G26" s="5"/>
      <c r="H26" s="41">
        <v>6000000</v>
      </c>
      <c r="I26" s="41">
        <v>6000000</v>
      </c>
      <c r="J26" s="40">
        <v>46107</v>
      </c>
      <c r="K26" s="5" t="s">
        <v>240</v>
      </c>
      <c r="L26" s="5"/>
      <c r="M26" s="5" t="s">
        <v>281</v>
      </c>
      <c r="N26" s="5"/>
      <c r="O26" s="5"/>
      <c r="P26" s="5"/>
      <c r="Q26" s="5"/>
      <c r="R26" s="5"/>
      <c r="S26" s="5"/>
      <c r="T26" s="42"/>
    </row>
    <row r="27" spans="1:20" ht="27.75" customHeight="1" x14ac:dyDescent="0.25">
      <c r="A27" s="40">
        <v>46107</v>
      </c>
      <c r="B27" s="5"/>
      <c r="C27" s="5"/>
      <c r="D27" s="5"/>
      <c r="E27" s="5" t="s">
        <v>282</v>
      </c>
      <c r="F27" s="5"/>
      <c r="G27" s="5"/>
      <c r="H27" s="41">
        <v>1894500</v>
      </c>
      <c r="I27" s="41">
        <v>1894500</v>
      </c>
      <c r="J27" s="40">
        <v>46107</v>
      </c>
      <c r="K27" s="5" t="s">
        <v>240</v>
      </c>
      <c r="L27" s="5"/>
      <c r="M27" s="5" t="s">
        <v>281</v>
      </c>
      <c r="N27" s="5"/>
      <c r="O27" s="5"/>
      <c r="P27" s="5"/>
      <c r="Q27" s="5"/>
      <c r="R27" s="5"/>
      <c r="S27" s="5"/>
      <c r="T27" s="42"/>
    </row>
    <row r="28" spans="1:20" ht="27.75" customHeight="1" x14ac:dyDescent="0.25">
      <c r="A28" s="40">
        <v>46107</v>
      </c>
      <c r="B28" s="5"/>
      <c r="C28" s="5"/>
      <c r="D28" s="5"/>
      <c r="E28" s="5" t="s">
        <v>283</v>
      </c>
      <c r="F28" s="5"/>
      <c r="G28" s="5"/>
      <c r="H28" s="41">
        <v>1000200</v>
      </c>
      <c r="I28" s="41">
        <v>1000200</v>
      </c>
      <c r="J28" s="40">
        <v>46107</v>
      </c>
      <c r="K28" s="5" t="s">
        <v>240</v>
      </c>
      <c r="L28" s="5"/>
      <c r="M28" s="5" t="s">
        <v>281</v>
      </c>
      <c r="N28" s="5"/>
      <c r="O28" s="5"/>
      <c r="P28" s="5"/>
      <c r="Q28" s="5"/>
      <c r="R28" s="5"/>
      <c r="S28" s="5"/>
      <c r="T28" s="42"/>
    </row>
    <row r="29" spans="1:20" ht="27.75" customHeight="1" x14ac:dyDescent="0.25">
      <c r="A29" s="40">
        <v>46107</v>
      </c>
      <c r="B29" s="5"/>
      <c r="C29" s="5"/>
      <c r="D29" s="5"/>
      <c r="E29" s="5" t="s">
        <v>284</v>
      </c>
      <c r="F29" s="5"/>
      <c r="G29" s="5"/>
      <c r="H29" s="41">
        <v>950000</v>
      </c>
      <c r="I29" s="41">
        <v>950000</v>
      </c>
      <c r="J29" s="40">
        <v>46107</v>
      </c>
      <c r="K29" s="5" t="s">
        <v>240</v>
      </c>
      <c r="L29" s="5"/>
      <c r="M29" s="5" t="s">
        <v>281</v>
      </c>
      <c r="N29" s="5"/>
      <c r="O29" s="5"/>
      <c r="P29" s="5"/>
      <c r="Q29" s="5"/>
      <c r="R29" s="5"/>
      <c r="S29" s="5"/>
      <c r="T29" s="42"/>
    </row>
    <row r="30" spans="1:20" ht="27.75" customHeight="1" x14ac:dyDescent="0.25">
      <c r="A30" s="40">
        <v>46108</v>
      </c>
      <c r="B30" s="5"/>
      <c r="C30" s="5"/>
      <c r="D30" s="5"/>
      <c r="E30" s="5" t="s">
        <v>285</v>
      </c>
      <c r="F30" s="5"/>
      <c r="G30" s="5"/>
      <c r="H30" s="41">
        <v>500000</v>
      </c>
      <c r="I30" s="41">
        <v>500000</v>
      </c>
      <c r="J30" s="40">
        <v>46108</v>
      </c>
      <c r="K30" s="5" t="s">
        <v>240</v>
      </c>
      <c r="L30" s="5"/>
      <c r="M30" s="5" t="s">
        <v>286</v>
      </c>
      <c r="N30" s="5"/>
      <c r="O30" s="5"/>
      <c r="P30" s="5"/>
      <c r="Q30" s="5"/>
      <c r="R30" s="5"/>
      <c r="S30" s="5"/>
      <c r="T30" s="42"/>
    </row>
    <row r="31" spans="1:20" ht="27.75" customHeight="1" x14ac:dyDescent="0.25">
      <c r="A31" s="40">
        <v>46108</v>
      </c>
      <c r="B31" s="5"/>
      <c r="C31" s="5"/>
      <c r="D31" s="5"/>
      <c r="E31" s="5" t="s">
        <v>284</v>
      </c>
      <c r="F31" s="5"/>
      <c r="G31" s="5"/>
      <c r="H31" s="41">
        <v>500000</v>
      </c>
      <c r="I31" s="41">
        <v>500000</v>
      </c>
      <c r="J31" s="40">
        <v>46108</v>
      </c>
      <c r="K31" s="5" t="s">
        <v>240</v>
      </c>
      <c r="L31" s="5"/>
      <c r="M31" s="5" t="s">
        <v>286</v>
      </c>
      <c r="N31" s="5"/>
      <c r="O31" s="5"/>
      <c r="P31" s="5"/>
      <c r="Q31" s="5"/>
      <c r="R31" s="5"/>
      <c r="S31" s="5"/>
      <c r="T31" s="42"/>
    </row>
    <row r="32" spans="1:20" ht="27.75" customHeight="1" x14ac:dyDescent="0.25">
      <c r="A32" s="40">
        <v>46108</v>
      </c>
      <c r="B32" s="5"/>
      <c r="C32" s="5"/>
      <c r="D32" s="5"/>
      <c r="E32" s="5" t="s">
        <v>287</v>
      </c>
      <c r="F32" s="5"/>
      <c r="G32" s="5"/>
      <c r="H32" s="41">
        <v>886000</v>
      </c>
      <c r="I32" s="41">
        <v>886000</v>
      </c>
      <c r="J32" s="40">
        <v>46108</v>
      </c>
      <c r="K32" s="5" t="s">
        <v>240</v>
      </c>
      <c r="L32" s="5"/>
      <c r="M32" s="5" t="s">
        <v>286</v>
      </c>
      <c r="N32" s="5"/>
      <c r="O32" s="5"/>
      <c r="P32" s="5"/>
      <c r="Q32" s="5"/>
      <c r="R32" s="5"/>
      <c r="S32" s="5"/>
      <c r="T32" s="42"/>
    </row>
    <row r="33" spans="1:20" ht="27.75" customHeight="1" x14ac:dyDescent="0.25">
      <c r="A33" s="40">
        <v>46108</v>
      </c>
      <c r="B33" s="5"/>
      <c r="C33" s="5"/>
      <c r="D33" s="5"/>
      <c r="E33" s="5" t="s">
        <v>288</v>
      </c>
      <c r="F33" s="5"/>
      <c r="G33" s="5"/>
      <c r="H33" s="41">
        <v>7088000</v>
      </c>
      <c r="I33" s="41">
        <v>7088000</v>
      </c>
      <c r="J33" s="40">
        <v>46108</v>
      </c>
      <c r="K33" s="5" t="s">
        <v>240</v>
      </c>
      <c r="L33" s="5"/>
      <c r="M33" s="5" t="s">
        <v>286</v>
      </c>
      <c r="N33" s="5"/>
      <c r="O33" s="5"/>
      <c r="P33" s="5"/>
      <c r="Q33" s="5"/>
      <c r="R33" s="5"/>
      <c r="S33" s="5"/>
      <c r="T33" s="42"/>
    </row>
    <row r="34" spans="1:20" ht="27.75" customHeight="1" x14ac:dyDescent="0.25">
      <c r="A34" s="40">
        <v>46108</v>
      </c>
      <c r="B34" s="5"/>
      <c r="C34" s="5"/>
      <c r="D34" s="5"/>
      <c r="E34" s="5" t="s">
        <v>289</v>
      </c>
      <c r="F34" s="5"/>
      <c r="G34" s="5"/>
      <c r="H34" s="41">
        <v>100000</v>
      </c>
      <c r="I34" s="41">
        <v>100000</v>
      </c>
      <c r="J34" s="40">
        <v>46108</v>
      </c>
      <c r="K34" s="5" t="s">
        <v>240</v>
      </c>
      <c r="L34" s="5"/>
      <c r="M34" s="5" t="s">
        <v>286</v>
      </c>
      <c r="N34" s="5"/>
      <c r="O34" s="5"/>
      <c r="P34" s="5"/>
      <c r="Q34" s="5"/>
      <c r="R34" s="5"/>
      <c r="S34" s="5"/>
      <c r="T34" s="42"/>
    </row>
    <row r="35" spans="1:20" ht="27.75" customHeight="1" x14ac:dyDescent="0.25">
      <c r="A35" s="40">
        <v>46108</v>
      </c>
      <c r="B35" s="5"/>
      <c r="C35" s="5"/>
      <c r="D35" s="5"/>
      <c r="E35" s="5" t="s">
        <v>290</v>
      </c>
      <c r="F35" s="5"/>
      <c r="G35" s="5"/>
      <c r="H35" s="41">
        <v>1440000</v>
      </c>
      <c r="I35" s="41">
        <v>1440000</v>
      </c>
      <c r="J35" s="40">
        <v>46108</v>
      </c>
      <c r="K35" s="5" t="s">
        <v>240</v>
      </c>
      <c r="L35" s="5"/>
      <c r="M35" s="5" t="s">
        <v>286</v>
      </c>
      <c r="N35" s="5"/>
      <c r="O35" s="5"/>
      <c r="P35" s="5"/>
      <c r="Q35" s="5"/>
      <c r="R35" s="5"/>
      <c r="S35" s="5"/>
      <c r="T35" s="42"/>
    </row>
    <row r="36" spans="1:20" ht="27.75" customHeight="1" x14ac:dyDescent="0.25">
      <c r="A36" s="40">
        <v>46109</v>
      </c>
      <c r="B36" s="5"/>
      <c r="C36" s="5"/>
      <c r="D36" s="5"/>
      <c r="E36" s="5" t="s">
        <v>288</v>
      </c>
      <c r="F36" s="5"/>
      <c r="G36" s="5"/>
      <c r="H36" s="41">
        <v>7088000</v>
      </c>
      <c r="I36" s="41">
        <v>7088000</v>
      </c>
      <c r="J36" s="40">
        <v>46109</v>
      </c>
      <c r="K36" s="5" t="s">
        <v>240</v>
      </c>
      <c r="L36" s="5"/>
      <c r="M36" s="5" t="s">
        <v>291</v>
      </c>
      <c r="N36" s="5"/>
      <c r="O36" s="5"/>
      <c r="P36" s="5"/>
      <c r="Q36" s="5"/>
      <c r="R36" s="5"/>
      <c r="S36" s="5"/>
      <c r="T36" s="42"/>
    </row>
    <row r="37" spans="1:20" ht="27.75" customHeight="1" x14ac:dyDescent="0.25">
      <c r="A37" s="40">
        <v>46109</v>
      </c>
      <c r="B37" s="5"/>
      <c r="C37" s="5"/>
      <c r="D37" s="5"/>
      <c r="E37" s="5" t="s">
        <v>289</v>
      </c>
      <c r="F37" s="5"/>
      <c r="G37" s="5"/>
      <c r="H37" s="41">
        <v>100000</v>
      </c>
      <c r="I37" s="41">
        <v>100000</v>
      </c>
      <c r="J37" s="40">
        <v>46109</v>
      </c>
      <c r="K37" s="5" t="s">
        <v>240</v>
      </c>
      <c r="L37" s="5"/>
      <c r="M37" s="5" t="s">
        <v>291</v>
      </c>
      <c r="N37" s="5"/>
      <c r="O37" s="5"/>
      <c r="P37" s="5"/>
      <c r="Q37" s="5"/>
      <c r="R37" s="5"/>
      <c r="S37" s="5"/>
      <c r="T37" s="42"/>
    </row>
    <row r="38" spans="1:20" ht="27.75" customHeight="1" x14ac:dyDescent="0.25">
      <c r="A38" s="40">
        <v>46109</v>
      </c>
      <c r="B38" s="5"/>
      <c r="C38" s="5"/>
      <c r="D38" s="5"/>
      <c r="E38" s="5" t="s">
        <v>292</v>
      </c>
      <c r="F38" s="5"/>
      <c r="G38" s="5"/>
      <c r="H38" s="41">
        <v>5390000</v>
      </c>
      <c r="I38" s="41">
        <v>5390000</v>
      </c>
      <c r="J38" s="40">
        <v>46109</v>
      </c>
      <c r="K38" s="5" t="s">
        <v>240</v>
      </c>
      <c r="L38" s="5"/>
      <c r="M38" s="5" t="s">
        <v>291</v>
      </c>
      <c r="N38" s="5"/>
      <c r="O38" s="5"/>
      <c r="P38" s="5"/>
      <c r="Q38" s="5"/>
      <c r="R38" s="5"/>
      <c r="S38" s="5"/>
      <c r="T38" s="42"/>
    </row>
    <row r="39" spans="1:20" ht="27.75" customHeight="1" x14ac:dyDescent="0.25">
      <c r="A39" s="40">
        <v>46110</v>
      </c>
      <c r="B39" s="5"/>
      <c r="C39" s="5"/>
      <c r="D39" s="5"/>
      <c r="E39" s="5" t="s">
        <v>293</v>
      </c>
      <c r="F39" s="5"/>
      <c r="G39" s="5"/>
      <c r="H39" s="41">
        <v>2000000</v>
      </c>
      <c r="I39" s="41">
        <v>2000000</v>
      </c>
      <c r="J39" s="40">
        <v>46110</v>
      </c>
      <c r="K39" s="5" t="s">
        <v>240</v>
      </c>
      <c r="L39" s="5"/>
      <c r="M39" s="5" t="s">
        <v>294</v>
      </c>
      <c r="N39" s="5"/>
      <c r="O39" s="5"/>
      <c r="P39" s="5"/>
      <c r="Q39" s="5"/>
      <c r="R39" s="5"/>
      <c r="S39" s="5"/>
      <c r="T39" s="42"/>
    </row>
    <row r="40" spans="1:20" ht="27.75" customHeight="1" x14ac:dyDescent="0.25">
      <c r="A40" s="40">
        <v>46111</v>
      </c>
      <c r="B40" s="5"/>
      <c r="C40" s="5"/>
      <c r="D40" s="5"/>
      <c r="E40" s="5" t="s">
        <v>295</v>
      </c>
      <c r="F40" s="5"/>
      <c r="G40" s="5"/>
      <c r="H40" s="41">
        <v>6498000</v>
      </c>
      <c r="I40" s="41">
        <v>6498000</v>
      </c>
      <c r="J40" s="40">
        <v>46111</v>
      </c>
      <c r="K40" s="5" t="s">
        <v>240</v>
      </c>
      <c r="L40" s="5"/>
      <c r="M40" s="5" t="s">
        <v>296</v>
      </c>
      <c r="N40" s="5"/>
      <c r="O40" s="5"/>
      <c r="P40" s="5"/>
      <c r="Q40" s="5"/>
      <c r="R40" s="5"/>
      <c r="S40" s="5"/>
      <c r="T40" s="42"/>
    </row>
    <row r="41" spans="1:20" ht="27.75" customHeight="1" x14ac:dyDescent="0.25">
      <c r="A41" s="40">
        <v>46111</v>
      </c>
      <c r="B41" s="5"/>
      <c r="C41" s="5"/>
      <c r="D41" s="5"/>
      <c r="E41" s="5" t="s">
        <v>295</v>
      </c>
      <c r="F41" s="5"/>
      <c r="G41" s="5"/>
      <c r="H41" s="41">
        <v>1500000</v>
      </c>
      <c r="I41" s="41">
        <v>1500000</v>
      </c>
      <c r="J41" s="40">
        <v>46111</v>
      </c>
      <c r="K41" s="5" t="s">
        <v>240</v>
      </c>
      <c r="L41" s="5"/>
      <c r="M41" s="5" t="s">
        <v>296</v>
      </c>
      <c r="N41" s="5"/>
      <c r="O41" s="5"/>
      <c r="P41" s="5"/>
      <c r="Q41" s="5"/>
      <c r="R41" s="5"/>
      <c r="S41" s="5"/>
      <c r="T41" s="42"/>
    </row>
    <row r="42" spans="1:20" ht="27.75" customHeight="1" x14ac:dyDescent="0.25">
      <c r="A42" s="40">
        <v>46111</v>
      </c>
      <c r="B42" s="5"/>
      <c r="C42" s="5"/>
      <c r="D42" s="5"/>
      <c r="E42" s="5" t="s">
        <v>297</v>
      </c>
      <c r="F42" s="5"/>
      <c r="G42" s="5"/>
      <c r="H42" s="41">
        <v>100000</v>
      </c>
      <c r="I42" s="41">
        <v>100000</v>
      </c>
      <c r="J42" s="40">
        <v>46111</v>
      </c>
      <c r="K42" s="5"/>
      <c r="L42" s="5"/>
      <c r="M42" s="5" t="s">
        <v>296</v>
      </c>
      <c r="N42" s="5"/>
      <c r="O42" s="5"/>
      <c r="P42" s="5"/>
      <c r="Q42" s="5"/>
      <c r="R42" s="5"/>
      <c r="S42" s="5"/>
      <c r="T42" s="42"/>
    </row>
    <row r="43" spans="1:20" ht="27.75" customHeight="1" x14ac:dyDescent="0.25">
      <c r="A43" s="40">
        <v>46111</v>
      </c>
      <c r="B43" s="5"/>
      <c r="C43" s="5"/>
      <c r="D43" s="5"/>
      <c r="E43" s="5" t="s">
        <v>283</v>
      </c>
      <c r="F43" s="5"/>
      <c r="G43" s="5"/>
      <c r="H43" s="41">
        <v>1772000</v>
      </c>
      <c r="I43" s="41">
        <v>1772000</v>
      </c>
      <c r="J43" s="40">
        <v>46111</v>
      </c>
      <c r="K43" s="5" t="s">
        <v>298</v>
      </c>
      <c r="L43" s="5"/>
      <c r="M43" s="5" t="s">
        <v>296</v>
      </c>
      <c r="N43" s="5"/>
      <c r="O43" s="5"/>
      <c r="P43" s="5"/>
      <c r="Q43" s="5"/>
      <c r="R43" s="5"/>
      <c r="S43" s="5"/>
      <c r="T43" s="42"/>
    </row>
    <row r="44" spans="1:20" ht="27.75" customHeight="1" x14ac:dyDescent="0.25">
      <c r="A44" s="40">
        <v>46111</v>
      </c>
      <c r="B44" s="5"/>
      <c r="C44" s="5"/>
      <c r="D44" s="5"/>
      <c r="E44" s="5" t="s">
        <v>299</v>
      </c>
      <c r="F44" s="5"/>
      <c r="G44" s="5"/>
      <c r="H44" s="41">
        <v>2420000</v>
      </c>
      <c r="I44" s="41">
        <v>2420000</v>
      </c>
      <c r="J44" s="40">
        <v>46111</v>
      </c>
      <c r="K44" s="5" t="s">
        <v>240</v>
      </c>
      <c r="L44" s="5"/>
      <c r="M44" s="5" t="s">
        <v>296</v>
      </c>
      <c r="N44" s="5"/>
      <c r="O44" s="5"/>
      <c r="P44" s="5"/>
      <c r="Q44" s="5"/>
      <c r="R44" s="5"/>
      <c r="S44" s="5"/>
      <c r="T44" s="42"/>
    </row>
    <row r="45" spans="1:20" ht="27.75" customHeight="1" x14ac:dyDescent="0.25">
      <c r="A45" s="40">
        <v>46111</v>
      </c>
      <c r="B45" s="5"/>
      <c r="C45" s="5"/>
      <c r="D45" s="5"/>
      <c r="E45" s="5" t="s">
        <v>300</v>
      </c>
      <c r="F45" s="5"/>
      <c r="G45" s="5"/>
      <c r="H45" s="41">
        <v>1190000</v>
      </c>
      <c r="I45" s="41">
        <v>1190000</v>
      </c>
      <c r="J45" s="40">
        <v>46111</v>
      </c>
      <c r="K45" s="5" t="s">
        <v>240</v>
      </c>
      <c r="L45" s="5"/>
      <c r="M45" s="5" t="s">
        <v>296</v>
      </c>
      <c r="N45" s="5"/>
      <c r="O45" s="5"/>
      <c r="P45" s="5"/>
      <c r="Q45" s="5"/>
      <c r="R45" s="5"/>
      <c r="S45" s="5"/>
      <c r="T45" s="42"/>
    </row>
    <row r="46" spans="1:20" ht="27.75" customHeight="1" x14ac:dyDescent="0.25">
      <c r="A46" s="40">
        <v>46111</v>
      </c>
      <c r="B46" s="5"/>
      <c r="C46" s="5"/>
      <c r="D46" s="5"/>
      <c r="E46" s="5" t="s">
        <v>301</v>
      </c>
      <c r="F46" s="5"/>
      <c r="G46" s="5"/>
      <c r="H46" s="41">
        <v>480000</v>
      </c>
      <c r="I46" s="41">
        <v>480000</v>
      </c>
      <c r="J46" s="40">
        <v>46111</v>
      </c>
      <c r="K46" s="5" t="s">
        <v>240</v>
      </c>
      <c r="L46" s="5"/>
      <c r="M46" s="5" t="s">
        <v>296</v>
      </c>
      <c r="N46" s="5"/>
      <c r="O46" s="5"/>
      <c r="P46" s="5"/>
      <c r="Q46" s="5"/>
      <c r="R46" s="5"/>
      <c r="S46" s="5"/>
      <c r="T46" s="42"/>
    </row>
    <row r="47" spans="1:20" ht="27.75" customHeight="1" x14ac:dyDescent="0.25">
      <c r="A47" s="40">
        <v>46111</v>
      </c>
      <c r="B47" s="5"/>
      <c r="C47" s="5"/>
      <c r="D47" s="5"/>
      <c r="E47" s="5" t="s">
        <v>302</v>
      </c>
      <c r="F47" s="5"/>
      <c r="G47" s="5"/>
      <c r="H47" s="41">
        <v>2410000</v>
      </c>
      <c r="I47" s="41">
        <v>2410000</v>
      </c>
      <c r="J47" s="40">
        <v>46111</v>
      </c>
      <c r="K47" s="5" t="s">
        <v>240</v>
      </c>
      <c r="L47" s="5"/>
      <c r="M47" s="5" t="s">
        <v>296</v>
      </c>
      <c r="N47" s="5"/>
      <c r="O47" s="5"/>
      <c r="P47" s="5"/>
      <c r="Q47" s="5"/>
      <c r="R47" s="5"/>
      <c r="S47" s="5"/>
      <c r="T47" s="42"/>
    </row>
    <row r="48" spans="1:20" ht="27.75" customHeight="1" x14ac:dyDescent="0.25">
      <c r="A48" s="40">
        <v>46111</v>
      </c>
      <c r="B48" s="5"/>
      <c r="C48" s="5"/>
      <c r="D48" s="5"/>
      <c r="E48" s="5" t="s">
        <v>303</v>
      </c>
      <c r="F48" s="5"/>
      <c r="G48" s="5"/>
      <c r="H48" s="41">
        <v>153000</v>
      </c>
      <c r="I48" s="41">
        <v>153000</v>
      </c>
      <c r="J48" s="40">
        <v>46111</v>
      </c>
      <c r="K48" s="5" t="s">
        <v>240</v>
      </c>
      <c r="L48" s="5"/>
      <c r="M48" s="5" t="s">
        <v>296</v>
      </c>
      <c r="N48" s="5"/>
      <c r="O48" s="5"/>
      <c r="P48" s="5"/>
      <c r="Q48" s="5"/>
      <c r="R48" s="5"/>
      <c r="S48" s="5"/>
      <c r="T48" s="42"/>
    </row>
    <row r="49" spans="1:20" ht="27.75" customHeight="1" x14ac:dyDescent="0.25">
      <c r="A49" s="40">
        <v>46112</v>
      </c>
      <c r="B49" s="5"/>
      <c r="C49" s="5"/>
      <c r="D49" s="5"/>
      <c r="E49" s="5" t="s">
        <v>288</v>
      </c>
      <c r="F49" s="5"/>
      <c r="G49" s="5"/>
      <c r="H49" s="41">
        <v>7088000</v>
      </c>
      <c r="I49" s="41">
        <v>7088000</v>
      </c>
      <c r="J49" s="40">
        <v>46112</v>
      </c>
      <c r="K49" s="5" t="s">
        <v>240</v>
      </c>
      <c r="L49" s="5"/>
      <c r="M49" s="5" t="s">
        <v>304</v>
      </c>
      <c r="N49" s="5"/>
      <c r="O49" s="5"/>
      <c r="P49" s="5"/>
      <c r="Q49" s="5"/>
      <c r="R49" s="5"/>
      <c r="S49" s="5"/>
      <c r="T49" s="42"/>
    </row>
    <row r="50" spans="1:20" ht="27.75" customHeight="1" x14ac:dyDescent="0.25">
      <c r="A50" s="40">
        <v>46112</v>
      </c>
      <c r="B50" s="5"/>
      <c r="C50" s="5"/>
      <c r="D50" s="5"/>
      <c r="E50" s="5" t="s">
        <v>289</v>
      </c>
      <c r="F50" s="5"/>
      <c r="G50" s="5"/>
      <c r="H50" s="41">
        <v>100000</v>
      </c>
      <c r="I50" s="41">
        <v>100000</v>
      </c>
      <c r="J50" s="40">
        <v>46112</v>
      </c>
      <c r="K50" s="5" t="s">
        <v>240</v>
      </c>
      <c r="L50" s="5"/>
      <c r="M50" s="5" t="s">
        <v>304</v>
      </c>
      <c r="N50" s="5"/>
      <c r="O50" s="5"/>
      <c r="P50" s="5"/>
      <c r="Q50" s="5"/>
      <c r="R50" s="5"/>
      <c r="S50" s="5"/>
      <c r="T50" s="42"/>
    </row>
    <row r="51" spans="1:20" ht="27.75" customHeight="1" x14ac:dyDescent="0.25">
      <c r="A51" s="40">
        <v>46112</v>
      </c>
      <c r="B51" s="5"/>
      <c r="C51" s="5"/>
      <c r="D51" s="5"/>
      <c r="E51" s="5" t="s">
        <v>283</v>
      </c>
      <c r="F51" s="5"/>
      <c r="G51" s="5"/>
      <c r="H51" s="41">
        <v>1772000</v>
      </c>
      <c r="I51" s="41">
        <v>1772000</v>
      </c>
      <c r="J51" s="40">
        <v>46112</v>
      </c>
      <c r="K51" s="5" t="s">
        <v>240</v>
      </c>
      <c r="L51" s="5"/>
      <c r="M51" s="5" t="s">
        <v>304</v>
      </c>
      <c r="N51" s="5"/>
      <c r="O51" s="5"/>
      <c r="P51" s="5"/>
      <c r="Q51" s="5"/>
      <c r="R51" s="5"/>
      <c r="S51" s="5"/>
      <c r="T51" s="42"/>
    </row>
    <row r="52" spans="1:20" ht="27.75" customHeight="1" x14ac:dyDescent="0.25">
      <c r="A52" s="40">
        <v>46112</v>
      </c>
      <c r="B52" s="5"/>
      <c r="C52" s="5"/>
      <c r="D52" s="5"/>
      <c r="E52" s="5" t="s">
        <v>305</v>
      </c>
      <c r="F52" s="5"/>
      <c r="G52" s="5"/>
      <c r="H52" s="41">
        <v>1670000</v>
      </c>
      <c r="I52" s="41">
        <v>1670000</v>
      </c>
      <c r="J52" s="40">
        <v>46112</v>
      </c>
      <c r="K52" s="5" t="s">
        <v>306</v>
      </c>
      <c r="L52" s="5"/>
      <c r="M52" s="5" t="s">
        <v>304</v>
      </c>
      <c r="N52" s="5"/>
      <c r="O52" s="5"/>
      <c r="P52" s="5"/>
      <c r="Q52" s="5"/>
      <c r="R52" s="5"/>
      <c r="S52" s="5"/>
      <c r="T52" s="42"/>
    </row>
    <row r="53" spans="1:20" ht="27.75" customHeight="1" x14ac:dyDescent="0.25">
      <c r="A53" s="40">
        <v>46113</v>
      </c>
      <c r="B53" s="5"/>
      <c r="C53" s="5"/>
      <c r="D53" s="5"/>
      <c r="E53" s="5" t="s">
        <v>307</v>
      </c>
      <c r="F53" s="5"/>
      <c r="G53" s="5"/>
      <c r="H53" s="41">
        <v>400000</v>
      </c>
      <c r="I53" s="41">
        <v>400000</v>
      </c>
      <c r="J53" s="40">
        <v>46113</v>
      </c>
      <c r="K53" s="5" t="s">
        <v>240</v>
      </c>
      <c r="L53" s="5"/>
      <c r="M53" s="5" t="s">
        <v>308</v>
      </c>
      <c r="N53" s="5"/>
      <c r="O53" s="5"/>
      <c r="P53" s="5"/>
      <c r="Q53" s="5"/>
      <c r="R53" s="5"/>
      <c r="S53" s="5"/>
      <c r="T53" s="42"/>
    </row>
    <row r="54" spans="1:20" ht="27.75" customHeight="1" x14ac:dyDescent="0.25">
      <c r="A54" s="40">
        <v>46113</v>
      </c>
      <c r="B54" s="5"/>
      <c r="C54" s="5"/>
      <c r="D54" s="5"/>
      <c r="E54" s="5" t="s">
        <v>309</v>
      </c>
      <c r="F54" s="5"/>
      <c r="G54" s="5"/>
      <c r="H54" s="41">
        <v>1200000</v>
      </c>
      <c r="I54" s="41">
        <v>1200000</v>
      </c>
      <c r="J54" s="40">
        <v>46113</v>
      </c>
      <c r="K54" s="5" t="s">
        <v>240</v>
      </c>
      <c r="L54" s="5"/>
      <c r="M54" s="5" t="s">
        <v>308</v>
      </c>
      <c r="N54" s="5"/>
      <c r="O54" s="5"/>
      <c r="P54" s="5"/>
      <c r="Q54" s="5"/>
      <c r="R54" s="5"/>
      <c r="S54" s="5"/>
      <c r="T54" s="42"/>
    </row>
    <row r="55" spans="1:20" ht="27.75" customHeight="1" x14ac:dyDescent="0.25">
      <c r="A55" s="40">
        <v>46113</v>
      </c>
      <c r="B55" s="5"/>
      <c r="C55" s="5"/>
      <c r="D55" s="5"/>
      <c r="E55" s="5" t="s">
        <v>310</v>
      </c>
      <c r="F55" s="5"/>
      <c r="G55" s="5"/>
      <c r="H55" s="41">
        <v>1000000</v>
      </c>
      <c r="I55" s="41">
        <v>1000000</v>
      </c>
      <c r="J55" s="40">
        <v>46113</v>
      </c>
      <c r="K55" s="5" t="s">
        <v>240</v>
      </c>
      <c r="L55" s="5"/>
      <c r="M55" s="5" t="s">
        <v>308</v>
      </c>
      <c r="N55" s="5"/>
      <c r="O55" s="5"/>
      <c r="P55" s="5"/>
      <c r="Q55" s="5"/>
      <c r="R55" s="5"/>
      <c r="S55" s="5"/>
      <c r="T55" s="42"/>
    </row>
    <row r="56" spans="1:20" ht="27.75" customHeight="1" x14ac:dyDescent="0.25">
      <c r="A56" s="40">
        <v>46114</v>
      </c>
      <c r="B56" s="5"/>
      <c r="C56" s="5"/>
      <c r="D56" s="5"/>
      <c r="E56" s="5" t="s">
        <v>311</v>
      </c>
      <c r="F56" s="5"/>
      <c r="G56" s="5"/>
      <c r="H56" s="41">
        <v>1772000</v>
      </c>
      <c r="I56" s="41">
        <v>1772000</v>
      </c>
      <c r="J56" s="40">
        <v>46114</v>
      </c>
      <c r="K56" s="5" t="s">
        <v>240</v>
      </c>
      <c r="L56" s="5"/>
      <c r="M56" s="5" t="s">
        <v>312</v>
      </c>
      <c r="N56" s="5"/>
      <c r="O56" s="5"/>
      <c r="P56" s="5"/>
      <c r="Q56" s="5"/>
      <c r="R56" s="5"/>
      <c r="S56" s="5"/>
      <c r="T56" s="42"/>
    </row>
    <row r="57" spans="1:20" ht="27.75" customHeight="1" x14ac:dyDescent="0.25">
      <c r="A57" s="40">
        <v>46114</v>
      </c>
      <c r="B57" s="5"/>
      <c r="C57" s="5"/>
      <c r="D57" s="5"/>
      <c r="E57" s="5" t="s">
        <v>313</v>
      </c>
      <c r="F57" s="5"/>
      <c r="G57" s="5"/>
      <c r="H57" s="41">
        <v>500000</v>
      </c>
      <c r="I57" s="41">
        <v>500000</v>
      </c>
      <c r="J57" s="40">
        <v>46114</v>
      </c>
      <c r="K57" s="5" t="s">
        <v>240</v>
      </c>
      <c r="L57" s="5"/>
      <c r="M57" s="5" t="s">
        <v>312</v>
      </c>
      <c r="N57" s="5"/>
      <c r="O57" s="5"/>
      <c r="P57" s="5"/>
      <c r="Q57" s="5"/>
      <c r="R57" s="5"/>
      <c r="S57" s="5"/>
      <c r="T57" s="42"/>
    </row>
    <row r="58" spans="1:20" ht="27.75" customHeight="1" x14ac:dyDescent="0.25">
      <c r="A58" s="40">
        <v>46115</v>
      </c>
      <c r="B58" s="5"/>
      <c r="C58" s="5"/>
      <c r="D58" s="5"/>
      <c r="E58" s="5" t="s">
        <v>314</v>
      </c>
      <c r="F58" s="5"/>
      <c r="G58" s="5"/>
      <c r="H58" s="41">
        <v>1000000</v>
      </c>
      <c r="I58" s="41">
        <v>1000000</v>
      </c>
      <c r="J58" s="40">
        <v>46115</v>
      </c>
      <c r="K58" s="5" t="s">
        <v>240</v>
      </c>
      <c r="L58" s="5"/>
      <c r="M58" s="5" t="s">
        <v>315</v>
      </c>
      <c r="N58" s="5"/>
      <c r="O58" s="5"/>
      <c r="P58" s="5"/>
      <c r="Q58" s="5"/>
      <c r="R58" s="5"/>
      <c r="S58" s="5"/>
      <c r="T58" s="42"/>
    </row>
    <row r="59" spans="1:20" ht="27.75" customHeight="1" x14ac:dyDescent="0.25">
      <c r="A59" s="40">
        <v>46116</v>
      </c>
      <c r="B59" s="5"/>
      <c r="C59" s="5"/>
      <c r="D59" s="5"/>
      <c r="E59" s="5" t="s">
        <v>295</v>
      </c>
      <c r="F59" s="5"/>
      <c r="G59" s="5"/>
      <c r="H59" s="41">
        <v>2239000</v>
      </c>
      <c r="I59" s="41">
        <v>2239000</v>
      </c>
      <c r="J59" s="40">
        <v>46116</v>
      </c>
      <c r="K59" s="5" t="s">
        <v>240</v>
      </c>
      <c r="L59" s="5"/>
      <c r="M59" s="5" t="s">
        <v>316</v>
      </c>
      <c r="N59" s="5"/>
      <c r="O59" s="5"/>
      <c r="P59" s="5"/>
      <c r="Q59" s="5"/>
      <c r="R59" s="5"/>
      <c r="S59" s="5"/>
      <c r="T59" s="42"/>
    </row>
    <row r="60" spans="1:20" ht="27.75" customHeight="1" x14ac:dyDescent="0.25">
      <c r="A60" s="40">
        <v>46116</v>
      </c>
      <c r="B60" s="5"/>
      <c r="C60" s="5"/>
      <c r="D60" s="5"/>
      <c r="E60" s="5" t="s">
        <v>317</v>
      </c>
      <c r="F60" s="5"/>
      <c r="G60" s="5"/>
      <c r="H60" s="41">
        <v>2239000</v>
      </c>
      <c r="I60" s="41">
        <v>2239000</v>
      </c>
      <c r="J60" s="40">
        <v>46116</v>
      </c>
      <c r="K60" s="5" t="s">
        <v>240</v>
      </c>
      <c r="L60" s="5"/>
      <c r="M60" s="5" t="s">
        <v>316</v>
      </c>
      <c r="N60" s="5"/>
      <c r="O60" s="5"/>
      <c r="P60" s="5"/>
      <c r="Q60" s="5"/>
      <c r="R60" s="5"/>
      <c r="S60" s="5"/>
      <c r="T60" s="42"/>
    </row>
    <row r="61" spans="1:20" ht="27.75" customHeight="1" x14ac:dyDescent="0.25">
      <c r="A61" s="40">
        <v>46116</v>
      </c>
      <c r="B61" s="5"/>
      <c r="C61" s="5"/>
      <c r="D61" s="5"/>
      <c r="E61" s="5" t="s">
        <v>295</v>
      </c>
      <c r="F61" s="5"/>
      <c r="G61" s="5"/>
      <c r="H61" s="41">
        <v>2200000</v>
      </c>
      <c r="I61" s="41">
        <v>2200000</v>
      </c>
      <c r="J61" s="40">
        <v>46116</v>
      </c>
      <c r="K61" s="5" t="s">
        <v>240</v>
      </c>
      <c r="L61" s="5"/>
      <c r="M61" s="5" t="s">
        <v>316</v>
      </c>
      <c r="N61" s="5"/>
      <c r="O61" s="5"/>
      <c r="P61" s="5"/>
      <c r="Q61" s="5"/>
      <c r="R61" s="5"/>
      <c r="S61" s="5"/>
      <c r="T61" s="42"/>
    </row>
    <row r="62" spans="1:20" ht="27.75" customHeight="1" x14ac:dyDescent="0.25">
      <c r="A62" s="40">
        <v>46116</v>
      </c>
      <c r="B62" s="5"/>
      <c r="C62" s="5"/>
      <c r="D62" s="5"/>
      <c r="E62" s="5" t="s">
        <v>295</v>
      </c>
      <c r="F62" s="5"/>
      <c r="G62" s="5"/>
      <c r="H62" s="41">
        <v>250600</v>
      </c>
      <c r="I62" s="41">
        <v>250600</v>
      </c>
      <c r="J62" s="40">
        <v>46116</v>
      </c>
      <c r="K62" s="5" t="s">
        <v>240</v>
      </c>
      <c r="L62" s="5"/>
      <c r="M62" s="5" t="s">
        <v>316</v>
      </c>
      <c r="N62" s="5"/>
      <c r="O62" s="5"/>
      <c r="P62" s="5"/>
      <c r="Q62" s="5"/>
      <c r="R62" s="5"/>
      <c r="S62" s="5"/>
      <c r="T62" s="42"/>
    </row>
    <row r="63" spans="1:20" ht="27.75" customHeight="1" x14ac:dyDescent="0.25">
      <c r="A63" s="40">
        <v>46116</v>
      </c>
      <c r="B63" s="5"/>
      <c r="C63" s="5"/>
      <c r="D63" s="5"/>
      <c r="E63" s="5" t="s">
        <v>295</v>
      </c>
      <c r="F63" s="5"/>
      <c r="G63" s="5"/>
      <c r="H63" s="41">
        <v>500000</v>
      </c>
      <c r="I63" s="41">
        <v>500000</v>
      </c>
      <c r="J63" s="40">
        <v>46116</v>
      </c>
      <c r="K63" s="5" t="s">
        <v>240</v>
      </c>
      <c r="L63" s="5"/>
      <c r="M63" s="5" t="s">
        <v>316</v>
      </c>
      <c r="N63" s="5"/>
      <c r="O63" s="5"/>
      <c r="P63" s="5"/>
      <c r="Q63" s="5"/>
      <c r="R63" s="5"/>
      <c r="S63" s="5"/>
      <c r="T63" s="42"/>
    </row>
    <row r="64" spans="1:20" ht="27.75" customHeight="1" x14ac:dyDescent="0.25">
      <c r="A64" s="40">
        <v>46116</v>
      </c>
      <c r="B64" s="5"/>
      <c r="C64" s="5"/>
      <c r="D64" s="5"/>
      <c r="E64" s="5" t="s">
        <v>295</v>
      </c>
      <c r="F64" s="5"/>
      <c r="G64" s="5"/>
      <c r="H64" s="41">
        <v>1950000</v>
      </c>
      <c r="I64" s="41">
        <v>1950000</v>
      </c>
      <c r="J64" s="40">
        <v>46116</v>
      </c>
      <c r="K64" s="5" t="s">
        <v>240</v>
      </c>
      <c r="L64" s="5"/>
      <c r="M64" s="5" t="s">
        <v>316</v>
      </c>
      <c r="N64" s="5"/>
      <c r="O64" s="5"/>
      <c r="P64" s="5"/>
      <c r="Q64" s="5"/>
      <c r="R64" s="5"/>
      <c r="S64" s="5"/>
      <c r="T64" s="42"/>
    </row>
    <row r="65" spans="1:20" ht="27.75" customHeight="1" x14ac:dyDescent="0.25">
      <c r="A65" s="40">
        <v>46116</v>
      </c>
      <c r="B65" s="5"/>
      <c r="C65" s="5"/>
      <c r="D65" s="5"/>
      <c r="E65" s="5" t="s">
        <v>318</v>
      </c>
      <c r="F65" s="5"/>
      <c r="G65" s="5"/>
      <c r="H65" s="41">
        <v>1000000</v>
      </c>
      <c r="I65" s="41">
        <v>1000000</v>
      </c>
      <c r="J65" s="40">
        <v>46116</v>
      </c>
      <c r="K65" s="5" t="s">
        <v>240</v>
      </c>
      <c r="L65" s="5"/>
      <c r="M65" s="5" t="s">
        <v>316</v>
      </c>
      <c r="N65" s="5"/>
      <c r="O65" s="5"/>
      <c r="P65" s="5"/>
      <c r="Q65" s="5"/>
      <c r="R65" s="5"/>
      <c r="S65" s="5"/>
      <c r="T65" s="42"/>
    </row>
    <row r="66" spans="1:20" ht="27.75" customHeight="1" x14ac:dyDescent="0.25">
      <c r="A66" s="40">
        <v>46116</v>
      </c>
      <c r="B66" s="5"/>
      <c r="C66" s="5"/>
      <c r="D66" s="5"/>
      <c r="E66" s="5" t="s">
        <v>319</v>
      </c>
      <c r="F66" s="5"/>
      <c r="G66" s="5"/>
      <c r="H66" s="41">
        <v>1200000</v>
      </c>
      <c r="I66" s="41">
        <v>1200000</v>
      </c>
      <c r="J66" s="40">
        <v>46116</v>
      </c>
      <c r="K66" s="5"/>
      <c r="L66" s="5"/>
      <c r="M66" s="5" t="s">
        <v>316</v>
      </c>
      <c r="N66" s="5"/>
      <c r="O66" s="5"/>
      <c r="P66" s="5"/>
      <c r="Q66" s="5"/>
      <c r="R66" s="5"/>
      <c r="S66" s="5"/>
      <c r="T66" s="42"/>
    </row>
    <row r="67" spans="1:20" ht="27.75" customHeight="1" x14ac:dyDescent="0.25">
      <c r="A67" s="40">
        <v>46117</v>
      </c>
      <c r="B67" s="5"/>
      <c r="C67" s="5"/>
      <c r="D67" s="5"/>
      <c r="E67" s="5" t="s">
        <v>320</v>
      </c>
      <c r="F67" s="5"/>
      <c r="G67" s="5"/>
      <c r="H67" s="41">
        <v>7836500</v>
      </c>
      <c r="I67" s="41">
        <v>7836500</v>
      </c>
      <c r="J67" s="40">
        <v>46117</v>
      </c>
      <c r="K67" s="5"/>
      <c r="L67" s="5"/>
      <c r="M67" s="5" t="s">
        <v>321</v>
      </c>
      <c r="N67" s="5"/>
      <c r="O67" s="5"/>
      <c r="P67" s="5"/>
      <c r="Q67" s="5"/>
      <c r="R67" s="5"/>
      <c r="S67" s="5"/>
      <c r="T67" s="42"/>
    </row>
    <row r="68" spans="1:20" ht="27.75" customHeight="1" x14ac:dyDescent="0.25">
      <c r="A68" s="40">
        <v>46117</v>
      </c>
      <c r="B68" s="5"/>
      <c r="C68" s="5"/>
      <c r="D68" s="5"/>
      <c r="E68" s="5" t="s">
        <v>322</v>
      </c>
      <c r="F68" s="5"/>
      <c r="G68" s="5"/>
      <c r="H68" s="41">
        <v>4478000</v>
      </c>
      <c r="I68" s="41">
        <v>4478000</v>
      </c>
      <c r="J68" s="40">
        <v>46117</v>
      </c>
      <c r="K68" s="5"/>
      <c r="L68" s="5"/>
      <c r="M68" s="5" t="s">
        <v>321</v>
      </c>
      <c r="N68" s="5"/>
      <c r="O68" s="5"/>
      <c r="P68" s="5"/>
      <c r="Q68" s="5"/>
      <c r="R68" s="5"/>
      <c r="S68" s="5"/>
      <c r="T68" s="42"/>
    </row>
    <row r="69" spans="1:20" ht="27.75" customHeight="1" x14ac:dyDescent="0.25">
      <c r="A69" s="40">
        <v>46117</v>
      </c>
      <c r="B69" s="5"/>
      <c r="C69" s="5"/>
      <c r="D69" s="5"/>
      <c r="E69" s="5" t="s">
        <v>289</v>
      </c>
      <c r="F69" s="5"/>
      <c r="G69" s="5"/>
      <c r="H69" s="41">
        <v>100000</v>
      </c>
      <c r="I69" s="41">
        <v>100000</v>
      </c>
      <c r="J69" s="40">
        <v>46117</v>
      </c>
      <c r="K69" s="5"/>
      <c r="L69" s="5"/>
      <c r="M69" s="5" t="s">
        <v>321</v>
      </c>
      <c r="N69" s="5"/>
      <c r="O69" s="5"/>
      <c r="P69" s="5"/>
      <c r="Q69" s="5"/>
      <c r="R69" s="5"/>
      <c r="S69" s="5"/>
      <c r="T69" s="42"/>
    </row>
    <row r="70" spans="1:20" ht="27.75" customHeight="1" x14ac:dyDescent="0.25">
      <c r="A70" s="40">
        <v>46117</v>
      </c>
      <c r="B70" s="5"/>
      <c r="C70" s="5"/>
      <c r="D70" s="5"/>
      <c r="E70" s="5" t="s">
        <v>323</v>
      </c>
      <c r="F70" s="5"/>
      <c r="G70" s="5"/>
      <c r="H70" s="41">
        <v>1200000</v>
      </c>
      <c r="I70" s="41">
        <v>1200000</v>
      </c>
      <c r="J70" s="40">
        <v>46117</v>
      </c>
      <c r="K70" s="5"/>
      <c r="L70" s="5"/>
      <c r="M70" s="5" t="s">
        <v>321</v>
      </c>
      <c r="N70" s="5"/>
      <c r="O70" s="5"/>
      <c r="P70" s="5"/>
      <c r="Q70" s="5"/>
      <c r="R70" s="5"/>
      <c r="S70" s="5"/>
      <c r="T70" s="42"/>
    </row>
    <row r="71" spans="1:20" ht="27.75" customHeight="1" x14ac:dyDescent="0.25">
      <c r="A71" s="40">
        <v>46117</v>
      </c>
      <c r="B71" s="5"/>
      <c r="C71" s="5"/>
      <c r="D71" s="5"/>
      <c r="E71" s="5" t="s">
        <v>324</v>
      </c>
      <c r="F71" s="5"/>
      <c r="G71" s="5"/>
      <c r="H71" s="41">
        <v>600000</v>
      </c>
      <c r="I71" s="41">
        <v>600000</v>
      </c>
      <c r="J71" s="40">
        <v>46117</v>
      </c>
      <c r="K71" s="5"/>
      <c r="L71" s="5"/>
      <c r="M71" s="5" t="s">
        <v>321</v>
      </c>
      <c r="N71" s="5"/>
      <c r="O71" s="5"/>
      <c r="P71" s="5"/>
      <c r="Q71" s="5"/>
      <c r="R71" s="5"/>
      <c r="S71" s="5"/>
      <c r="T71" s="42"/>
    </row>
    <row r="72" spans="1:20" ht="27.75" customHeight="1" x14ac:dyDescent="0.25">
      <c r="A72" s="40">
        <v>46118</v>
      </c>
      <c r="B72" s="5"/>
      <c r="C72" s="5"/>
      <c r="D72" s="5"/>
      <c r="E72" s="5" t="s">
        <v>288</v>
      </c>
      <c r="F72" s="5"/>
      <c r="G72" s="5"/>
      <c r="H72" s="41">
        <v>8956000</v>
      </c>
      <c r="I72" s="41">
        <v>8956000</v>
      </c>
      <c r="J72" s="40">
        <v>46118</v>
      </c>
      <c r="K72" s="5"/>
      <c r="L72" s="5"/>
      <c r="M72" s="5" t="s">
        <v>325</v>
      </c>
      <c r="N72" s="5"/>
      <c r="O72" s="5"/>
      <c r="P72" s="5"/>
      <c r="Q72" s="5"/>
      <c r="R72" s="5"/>
      <c r="S72" s="5"/>
      <c r="T72" s="42"/>
    </row>
    <row r="73" spans="1:20" ht="27.75" customHeight="1" x14ac:dyDescent="0.25">
      <c r="A73" s="40">
        <v>46118</v>
      </c>
      <c r="B73" s="5"/>
      <c r="C73" s="5"/>
      <c r="D73" s="5"/>
      <c r="E73" s="5" t="s">
        <v>289</v>
      </c>
      <c r="F73" s="5"/>
      <c r="G73" s="5"/>
      <c r="H73" s="41">
        <v>100000</v>
      </c>
      <c r="I73" s="41">
        <v>100000</v>
      </c>
      <c r="J73" s="40">
        <v>46118</v>
      </c>
      <c r="K73" s="5"/>
      <c r="L73" s="5"/>
      <c r="M73" s="5" t="s">
        <v>325</v>
      </c>
      <c r="N73" s="5"/>
      <c r="O73" s="5"/>
      <c r="P73" s="5"/>
      <c r="Q73" s="5"/>
      <c r="R73" s="5"/>
      <c r="S73" s="5"/>
      <c r="T73" s="42"/>
    </row>
    <row r="74" spans="1:20" ht="27.75" customHeight="1" x14ac:dyDescent="0.25">
      <c r="A74" s="40">
        <v>46119</v>
      </c>
      <c r="B74" s="5"/>
      <c r="C74" s="5"/>
      <c r="D74" s="5"/>
      <c r="E74" s="5" t="s">
        <v>288</v>
      </c>
      <c r="F74" s="5"/>
      <c r="G74" s="5"/>
      <c r="H74" s="41">
        <v>8956000</v>
      </c>
      <c r="I74" s="41">
        <v>8956000</v>
      </c>
      <c r="J74" s="40">
        <v>46119</v>
      </c>
      <c r="K74" s="5"/>
      <c r="L74" s="5"/>
      <c r="M74" s="5" t="s">
        <v>326</v>
      </c>
      <c r="N74" s="5"/>
      <c r="O74" s="5"/>
      <c r="P74" s="5"/>
      <c r="Q74" s="5"/>
      <c r="R74" s="5"/>
      <c r="S74" s="5"/>
      <c r="T74" s="42"/>
    </row>
    <row r="75" spans="1:20" ht="27.75" customHeight="1" x14ac:dyDescent="0.25">
      <c r="A75" s="40">
        <v>46119</v>
      </c>
      <c r="B75" s="5"/>
      <c r="C75" s="5"/>
      <c r="D75" s="5"/>
      <c r="E75" s="5" t="s">
        <v>289</v>
      </c>
      <c r="F75" s="5"/>
      <c r="G75" s="5"/>
      <c r="H75" s="41">
        <v>100000</v>
      </c>
      <c r="I75" s="41">
        <v>100000</v>
      </c>
      <c r="J75" s="40">
        <v>46119</v>
      </c>
      <c r="K75" s="5"/>
      <c r="L75" s="5"/>
      <c r="M75" s="5" t="s">
        <v>326</v>
      </c>
      <c r="N75" s="5"/>
      <c r="O75" s="5"/>
      <c r="P75" s="5"/>
      <c r="Q75" s="5"/>
      <c r="R75" s="5"/>
      <c r="S75" s="5"/>
      <c r="T75" s="42"/>
    </row>
    <row r="76" spans="1:20" ht="27.75" customHeight="1" x14ac:dyDescent="0.25">
      <c r="A76" s="40">
        <v>46119</v>
      </c>
      <c r="B76" s="5"/>
      <c r="C76" s="5"/>
      <c r="D76" s="5"/>
      <c r="E76" s="5" t="s">
        <v>322</v>
      </c>
      <c r="F76" s="5"/>
      <c r="G76" s="5"/>
      <c r="H76" s="41">
        <v>4478000</v>
      </c>
      <c r="I76" s="41">
        <v>4478000</v>
      </c>
      <c r="J76" s="40">
        <v>46119</v>
      </c>
      <c r="K76" s="5"/>
      <c r="L76" s="5"/>
      <c r="M76" s="5" t="s">
        <v>326</v>
      </c>
      <c r="N76" s="5"/>
      <c r="O76" s="5"/>
      <c r="P76" s="5"/>
      <c r="Q76" s="5"/>
      <c r="R76" s="5"/>
      <c r="S76" s="5"/>
      <c r="T76" s="42"/>
    </row>
    <row r="77" spans="1:20" ht="27.75" customHeight="1" x14ac:dyDescent="0.25">
      <c r="A77" s="40">
        <v>46120</v>
      </c>
      <c r="B77" s="5"/>
      <c r="C77" s="5"/>
      <c r="D77" s="5"/>
      <c r="E77" s="5" t="s">
        <v>327</v>
      </c>
      <c r="F77" s="5"/>
      <c r="G77" s="5"/>
      <c r="H77" s="41">
        <v>1343400</v>
      </c>
      <c r="I77" s="41">
        <v>1343400</v>
      </c>
      <c r="J77" s="40">
        <v>46120</v>
      </c>
      <c r="K77" s="5"/>
      <c r="L77" s="5"/>
      <c r="M77" s="5" t="s">
        <v>328</v>
      </c>
      <c r="N77" s="5"/>
      <c r="O77" s="5"/>
      <c r="P77" s="5"/>
      <c r="Q77" s="5"/>
      <c r="R77" s="5"/>
      <c r="S77" s="5"/>
      <c r="T77" s="42"/>
    </row>
    <row r="78" spans="1:20" ht="27.75" customHeight="1" x14ac:dyDescent="0.25">
      <c r="A78" s="40">
        <v>46120</v>
      </c>
      <c r="B78" s="5"/>
      <c r="C78" s="5"/>
      <c r="D78" s="5"/>
      <c r="E78" s="5" t="s">
        <v>329</v>
      </c>
      <c r="F78" s="5"/>
      <c r="G78" s="5"/>
      <c r="H78" s="41">
        <v>1200000</v>
      </c>
      <c r="I78" s="41">
        <v>1200000</v>
      </c>
      <c r="J78" s="40">
        <v>46120</v>
      </c>
      <c r="K78" s="5"/>
      <c r="L78" s="5"/>
      <c r="M78" s="5" t="s">
        <v>328</v>
      </c>
      <c r="N78" s="5"/>
      <c r="O78" s="5"/>
      <c r="P78" s="5"/>
      <c r="Q78" s="5"/>
      <c r="R78" s="5"/>
      <c r="S78" s="5"/>
      <c r="T78" s="42"/>
    </row>
    <row r="79" spans="1:20" ht="27.75" customHeight="1" x14ac:dyDescent="0.25">
      <c r="A79" s="40">
        <v>46120</v>
      </c>
      <c r="B79" s="5"/>
      <c r="C79" s="5"/>
      <c r="D79" s="5"/>
      <c r="E79" s="5" t="s">
        <v>330</v>
      </c>
      <c r="F79" s="5"/>
      <c r="G79" s="5"/>
      <c r="H79" s="41">
        <v>1500000</v>
      </c>
      <c r="I79" s="41">
        <v>1500000</v>
      </c>
      <c r="J79" s="40">
        <v>46120</v>
      </c>
      <c r="K79" s="5"/>
      <c r="L79" s="5"/>
      <c r="M79" s="5" t="s">
        <v>328</v>
      </c>
      <c r="N79" s="5"/>
      <c r="O79" s="5"/>
      <c r="P79" s="5"/>
      <c r="Q79" s="5"/>
      <c r="R79" s="5"/>
      <c r="S79" s="5"/>
      <c r="T79" s="42"/>
    </row>
    <row r="80" spans="1:20" ht="27.75" customHeight="1" x14ac:dyDescent="0.25">
      <c r="A80" s="40">
        <v>46120</v>
      </c>
      <c r="B80" s="5"/>
      <c r="C80" s="5"/>
      <c r="D80" s="5"/>
      <c r="E80" s="5" t="s">
        <v>331</v>
      </c>
      <c r="F80" s="5"/>
      <c r="G80" s="5"/>
      <c r="H80" s="41">
        <v>15390000</v>
      </c>
      <c r="I80" s="41">
        <v>15390000</v>
      </c>
      <c r="J80" s="40">
        <v>46120</v>
      </c>
      <c r="K80" s="5"/>
      <c r="L80" s="5"/>
      <c r="M80" s="5" t="s">
        <v>328</v>
      </c>
      <c r="N80" s="5"/>
      <c r="O80" s="5"/>
      <c r="P80" s="5"/>
      <c r="Q80" s="5"/>
      <c r="R80" s="5"/>
      <c r="S80" s="5"/>
      <c r="T80" s="42"/>
    </row>
    <row r="81" spans="1:20" ht="27.75" customHeight="1" x14ac:dyDescent="0.25">
      <c r="A81" s="40">
        <v>46121</v>
      </c>
      <c r="B81" s="5"/>
      <c r="C81" s="5"/>
      <c r="D81" s="5"/>
      <c r="E81" s="5" t="s">
        <v>322</v>
      </c>
      <c r="F81" s="5"/>
      <c r="G81" s="5"/>
      <c r="H81" s="41">
        <v>4284000</v>
      </c>
      <c r="I81" s="41">
        <v>4284000</v>
      </c>
      <c r="J81" s="40">
        <v>46121</v>
      </c>
      <c r="K81" s="5"/>
      <c r="L81" s="5"/>
      <c r="M81" s="5" t="s">
        <v>332</v>
      </c>
      <c r="N81" s="5"/>
      <c r="O81" s="5"/>
      <c r="P81" s="5"/>
      <c r="Q81" s="5"/>
      <c r="R81" s="5"/>
      <c r="S81" s="5"/>
      <c r="T81" s="42"/>
    </row>
    <row r="82" spans="1:20" ht="27.75" customHeight="1" x14ac:dyDescent="0.25">
      <c r="A82" s="40">
        <v>46121</v>
      </c>
      <c r="B82" s="5"/>
      <c r="C82" s="5"/>
      <c r="D82" s="5"/>
      <c r="E82" s="5" t="s">
        <v>333</v>
      </c>
      <c r="F82" s="5"/>
      <c r="G82" s="5"/>
      <c r="H82" s="41">
        <v>1200000</v>
      </c>
      <c r="I82" s="41">
        <v>1200000</v>
      </c>
      <c r="J82" s="40">
        <v>46121</v>
      </c>
      <c r="K82" s="5"/>
      <c r="L82" s="5"/>
      <c r="M82" s="5" t="s">
        <v>332</v>
      </c>
      <c r="N82" s="5"/>
      <c r="O82" s="5"/>
      <c r="P82" s="5"/>
      <c r="Q82" s="5"/>
      <c r="R82" s="5"/>
      <c r="S82" s="5"/>
      <c r="T82" s="42"/>
    </row>
    <row r="83" spans="1:20" ht="27.75" customHeight="1" x14ac:dyDescent="0.25">
      <c r="A83" s="40">
        <v>46121</v>
      </c>
      <c r="B83" s="5"/>
      <c r="C83" s="5"/>
      <c r="D83" s="5"/>
      <c r="E83" s="5" t="s">
        <v>334</v>
      </c>
      <c r="F83" s="5"/>
      <c r="G83" s="5"/>
      <c r="H83" s="41">
        <v>1200000</v>
      </c>
      <c r="I83" s="41">
        <v>1200000</v>
      </c>
      <c r="J83" s="40">
        <v>46121</v>
      </c>
      <c r="K83" s="5"/>
      <c r="L83" s="5"/>
      <c r="M83" s="5" t="s">
        <v>332</v>
      </c>
      <c r="N83" s="5"/>
      <c r="O83" s="5"/>
      <c r="P83" s="5"/>
      <c r="Q83" s="5"/>
      <c r="R83" s="5"/>
      <c r="S83" s="5"/>
      <c r="T83" s="42"/>
    </row>
    <row r="84" spans="1:20" ht="27.75" customHeight="1" x14ac:dyDescent="0.25">
      <c r="A84" s="40">
        <v>46121</v>
      </c>
      <c r="B84" s="5"/>
      <c r="C84" s="5"/>
      <c r="D84" s="5"/>
      <c r="E84" s="5" t="s">
        <v>335</v>
      </c>
      <c r="F84" s="5"/>
      <c r="G84" s="5"/>
      <c r="H84" s="41">
        <v>2080000</v>
      </c>
      <c r="I84" s="41">
        <v>2080000</v>
      </c>
      <c r="J84" s="40">
        <v>46121</v>
      </c>
      <c r="K84" s="5"/>
      <c r="L84" s="5"/>
      <c r="M84" s="5" t="s">
        <v>332</v>
      </c>
      <c r="N84" s="5"/>
      <c r="O84" s="5"/>
      <c r="P84" s="5"/>
      <c r="Q84" s="5"/>
      <c r="R84" s="5"/>
      <c r="S84" s="5"/>
      <c r="T84" s="42"/>
    </row>
    <row r="85" spans="1:20" ht="27.75" customHeight="1" x14ac:dyDescent="0.25">
      <c r="A85" s="40">
        <v>46121</v>
      </c>
      <c r="B85" s="5"/>
      <c r="C85" s="5"/>
      <c r="D85" s="5"/>
      <c r="E85" s="5" t="s">
        <v>336</v>
      </c>
      <c r="F85" s="5"/>
      <c r="G85" s="5"/>
      <c r="H85" s="41">
        <v>615000</v>
      </c>
      <c r="I85" s="41">
        <v>615000</v>
      </c>
      <c r="J85" s="40">
        <v>46121</v>
      </c>
      <c r="K85" s="5"/>
      <c r="L85" s="5"/>
      <c r="M85" s="5" t="s">
        <v>332</v>
      </c>
      <c r="N85" s="5"/>
      <c r="O85" s="5"/>
      <c r="P85" s="5"/>
      <c r="Q85" s="5"/>
      <c r="R85" s="5"/>
      <c r="S85" s="5"/>
      <c r="T85" s="42"/>
    </row>
    <row r="86" spans="1:20" ht="27.75" customHeight="1" x14ac:dyDescent="0.25">
      <c r="A86" s="40">
        <v>46121</v>
      </c>
      <c r="B86" s="5"/>
      <c r="C86" s="5"/>
      <c r="D86" s="5"/>
      <c r="E86" s="5" t="s">
        <v>337</v>
      </c>
      <c r="F86" s="5"/>
      <c r="G86" s="5"/>
      <c r="H86" s="41">
        <v>203000</v>
      </c>
      <c r="I86" s="41">
        <v>203000</v>
      </c>
      <c r="J86" s="40">
        <v>46121</v>
      </c>
      <c r="K86" s="5"/>
      <c r="L86" s="5"/>
      <c r="M86" s="5" t="s">
        <v>332</v>
      </c>
      <c r="N86" s="5"/>
      <c r="O86" s="5"/>
      <c r="P86" s="5"/>
      <c r="Q86" s="5"/>
      <c r="R86" s="5"/>
      <c r="S86" s="5"/>
      <c r="T86" s="42"/>
    </row>
    <row r="87" spans="1:20" ht="27.75" customHeight="1" x14ac:dyDescent="0.25">
      <c r="A87" s="40">
        <v>46122</v>
      </c>
      <c r="B87" s="5"/>
      <c r="C87" s="5"/>
      <c r="D87" s="5"/>
      <c r="E87" s="5" t="s">
        <v>338</v>
      </c>
      <c r="F87" s="5"/>
      <c r="G87" s="5"/>
      <c r="H87" s="41">
        <v>4740000</v>
      </c>
      <c r="I87" s="41">
        <v>4740000</v>
      </c>
      <c r="J87" s="40">
        <v>46122</v>
      </c>
      <c r="K87" s="5"/>
      <c r="L87" s="5"/>
      <c r="M87" s="5" t="s">
        <v>339</v>
      </c>
      <c r="N87" s="5"/>
      <c r="O87" s="5"/>
      <c r="P87" s="5"/>
      <c r="Q87" s="5"/>
      <c r="R87" s="5"/>
      <c r="S87" s="5"/>
      <c r="T87" s="42"/>
    </row>
    <row r="88" spans="1:20" ht="27.75" customHeight="1" x14ac:dyDescent="0.25">
      <c r="A88" s="40">
        <v>46123</v>
      </c>
      <c r="B88" s="5"/>
      <c r="C88" s="5"/>
      <c r="D88" s="5"/>
      <c r="E88" s="5" t="s">
        <v>288</v>
      </c>
      <c r="F88" s="5"/>
      <c r="G88" s="5"/>
      <c r="H88" s="41">
        <v>6592000</v>
      </c>
      <c r="I88" s="41">
        <v>6592000</v>
      </c>
      <c r="J88" s="40">
        <v>46123</v>
      </c>
      <c r="K88" s="5"/>
      <c r="L88" s="5"/>
      <c r="M88" s="5" t="s">
        <v>340</v>
      </c>
      <c r="N88" s="5"/>
      <c r="O88" s="5"/>
      <c r="P88" s="5"/>
      <c r="Q88" s="5"/>
      <c r="R88" s="5"/>
      <c r="S88" s="5"/>
      <c r="T88" s="42"/>
    </row>
    <row r="89" spans="1:20" ht="27.75" customHeight="1" x14ac:dyDescent="0.25">
      <c r="A89" s="40">
        <v>46123</v>
      </c>
      <c r="B89" s="5"/>
      <c r="C89" s="5"/>
      <c r="D89" s="5"/>
      <c r="E89" s="5" t="s">
        <v>289</v>
      </c>
      <c r="F89" s="5"/>
      <c r="G89" s="5"/>
      <c r="H89" s="41">
        <v>100000</v>
      </c>
      <c r="I89" s="41">
        <v>100000</v>
      </c>
      <c r="J89" s="40">
        <v>46123</v>
      </c>
      <c r="K89" s="5"/>
      <c r="L89" s="5"/>
      <c r="M89" s="5" t="s">
        <v>340</v>
      </c>
      <c r="N89" s="5"/>
      <c r="O89" s="5"/>
      <c r="P89" s="5"/>
      <c r="Q89" s="5"/>
      <c r="R89" s="5"/>
      <c r="S89" s="5"/>
      <c r="T89" s="42"/>
    </row>
    <row r="90" spans="1:20" ht="27.75" customHeight="1" x14ac:dyDescent="0.25">
      <c r="A90" s="40">
        <v>46123</v>
      </c>
      <c r="B90" s="5"/>
      <c r="C90" s="5"/>
      <c r="D90" s="5"/>
      <c r="E90" s="5" t="s">
        <v>322</v>
      </c>
      <c r="F90" s="5"/>
      <c r="G90" s="5"/>
      <c r="H90" s="41">
        <v>3296000</v>
      </c>
      <c r="I90" s="41">
        <v>3296000</v>
      </c>
      <c r="J90" s="40">
        <v>46123</v>
      </c>
      <c r="K90" s="5"/>
      <c r="L90" s="5"/>
      <c r="M90" s="5" t="s">
        <v>340</v>
      </c>
      <c r="N90" s="5"/>
      <c r="O90" s="5"/>
      <c r="P90" s="5"/>
      <c r="Q90" s="5"/>
      <c r="R90" s="5"/>
      <c r="S90" s="5"/>
      <c r="T90" s="42"/>
    </row>
    <row r="91" spans="1:20" ht="27.75" customHeight="1" x14ac:dyDescent="0.25">
      <c r="A91" s="40">
        <v>46123</v>
      </c>
      <c r="B91" s="5"/>
      <c r="C91" s="5"/>
      <c r="D91" s="5"/>
      <c r="E91" s="5" t="s">
        <v>341</v>
      </c>
      <c r="F91" s="5"/>
      <c r="G91" s="5"/>
      <c r="H91" s="41">
        <v>1600000</v>
      </c>
      <c r="I91" s="41">
        <v>1600000</v>
      </c>
      <c r="J91" s="40">
        <v>46123</v>
      </c>
      <c r="K91" s="5"/>
      <c r="L91" s="5"/>
      <c r="M91" s="5" t="s">
        <v>340</v>
      </c>
      <c r="N91" s="5"/>
      <c r="O91" s="5"/>
      <c r="P91" s="5"/>
      <c r="Q91" s="5"/>
      <c r="R91" s="5"/>
      <c r="S91" s="5"/>
      <c r="T91" s="42"/>
    </row>
    <row r="92" spans="1:20" ht="27.75" customHeight="1" x14ac:dyDescent="0.25">
      <c r="A92" s="40">
        <v>46125</v>
      </c>
      <c r="B92" s="5"/>
      <c r="C92" s="5"/>
      <c r="D92" s="5"/>
      <c r="E92" s="5" t="s">
        <v>342</v>
      </c>
      <c r="F92" s="5"/>
      <c r="G92" s="5"/>
      <c r="H92" s="41">
        <v>3000000</v>
      </c>
      <c r="I92" s="41">
        <v>3000000</v>
      </c>
      <c r="J92" s="40">
        <v>46125</v>
      </c>
      <c r="K92" s="5"/>
      <c r="L92" s="5"/>
      <c r="M92" s="5" t="s">
        <v>343</v>
      </c>
      <c r="N92" s="5"/>
      <c r="O92" s="5"/>
      <c r="P92" s="5"/>
      <c r="Q92" s="5"/>
      <c r="R92" s="5"/>
      <c r="S92" s="5"/>
      <c r="T92" s="42"/>
    </row>
    <row r="93" spans="1:20" ht="27.75" customHeight="1" x14ac:dyDescent="0.25">
      <c r="A93" s="40">
        <v>46125</v>
      </c>
      <c r="B93" s="5"/>
      <c r="C93" s="5"/>
      <c r="D93" s="5"/>
      <c r="E93" s="5" t="s">
        <v>322</v>
      </c>
      <c r="F93" s="5"/>
      <c r="G93" s="5"/>
      <c r="H93" s="41">
        <v>3296000</v>
      </c>
      <c r="I93" s="41">
        <v>3296000</v>
      </c>
      <c r="J93" s="40">
        <v>46125</v>
      </c>
      <c r="K93" s="5"/>
      <c r="L93" s="5"/>
      <c r="M93" s="5" t="s">
        <v>343</v>
      </c>
      <c r="N93" s="5"/>
      <c r="O93" s="5"/>
      <c r="P93" s="5"/>
      <c r="Q93" s="5"/>
      <c r="R93" s="5"/>
      <c r="S93" s="5"/>
      <c r="T93" s="42"/>
    </row>
    <row r="94" spans="1:20" ht="27.75" customHeight="1" x14ac:dyDescent="0.25">
      <c r="A94" s="40">
        <v>46125</v>
      </c>
      <c r="B94" s="5"/>
      <c r="C94" s="5"/>
      <c r="D94" s="5"/>
      <c r="E94" s="5" t="s">
        <v>344</v>
      </c>
      <c r="F94" s="5"/>
      <c r="G94" s="5"/>
      <c r="H94" s="41">
        <v>1648000</v>
      </c>
      <c r="I94" s="41">
        <v>1648000</v>
      </c>
      <c r="J94" s="40">
        <v>46125</v>
      </c>
      <c r="K94" s="5"/>
      <c r="L94" s="5"/>
      <c r="M94" s="5" t="s">
        <v>343</v>
      </c>
      <c r="N94" s="5"/>
      <c r="O94" s="5"/>
      <c r="P94" s="5"/>
      <c r="Q94" s="5"/>
      <c r="R94" s="5"/>
      <c r="S94" s="5"/>
      <c r="T94" s="42"/>
    </row>
    <row r="95" spans="1:20" ht="27.75" customHeight="1" x14ac:dyDescent="0.25">
      <c r="A95" s="40">
        <v>46126</v>
      </c>
      <c r="B95" s="5"/>
      <c r="C95" s="5"/>
      <c r="D95" s="5"/>
      <c r="E95" s="5" t="s">
        <v>288</v>
      </c>
      <c r="F95" s="5"/>
      <c r="G95" s="5"/>
      <c r="H95" s="41">
        <v>6592000</v>
      </c>
      <c r="I95" s="41">
        <v>6592000</v>
      </c>
      <c r="J95" s="40">
        <v>46126</v>
      </c>
      <c r="K95" s="5"/>
      <c r="L95" s="5"/>
      <c r="M95" s="5" t="s">
        <v>345</v>
      </c>
      <c r="N95" s="5"/>
      <c r="O95" s="5"/>
      <c r="P95" s="5"/>
      <c r="Q95" s="5"/>
      <c r="R95" s="5"/>
      <c r="S95" s="5"/>
      <c r="T95" s="42"/>
    </row>
    <row r="96" spans="1:20" ht="27.75" customHeight="1" x14ac:dyDescent="0.25">
      <c r="A96" s="40">
        <v>46126</v>
      </c>
      <c r="B96" s="5"/>
      <c r="C96" s="5"/>
      <c r="D96" s="5"/>
      <c r="E96" s="5" t="s">
        <v>289</v>
      </c>
      <c r="F96" s="5"/>
      <c r="G96" s="5"/>
      <c r="H96" s="41">
        <v>100000</v>
      </c>
      <c r="I96" s="41">
        <v>100000</v>
      </c>
      <c r="J96" s="40">
        <v>46126</v>
      </c>
      <c r="K96" s="5"/>
      <c r="L96" s="5"/>
      <c r="M96" s="5" t="s">
        <v>345</v>
      </c>
      <c r="N96" s="5"/>
      <c r="O96" s="5"/>
      <c r="P96" s="5"/>
      <c r="Q96" s="5"/>
      <c r="R96" s="5"/>
      <c r="S96" s="5"/>
      <c r="T96" s="42"/>
    </row>
    <row r="97" spans="1:20" ht="27.75" customHeight="1" x14ac:dyDescent="0.25">
      <c r="A97" s="40">
        <v>46126</v>
      </c>
      <c r="B97" s="5"/>
      <c r="C97" s="5"/>
      <c r="D97" s="5"/>
      <c r="E97" s="5" t="s">
        <v>346</v>
      </c>
      <c r="F97" s="5"/>
      <c r="G97" s="5"/>
      <c r="H97" s="41">
        <v>1000000</v>
      </c>
      <c r="I97" s="41">
        <v>1000000</v>
      </c>
      <c r="J97" s="40">
        <v>46126</v>
      </c>
      <c r="K97" s="5"/>
      <c r="L97" s="5"/>
      <c r="M97" s="5" t="s">
        <v>345</v>
      </c>
      <c r="N97" s="5"/>
      <c r="O97" s="5"/>
      <c r="P97" s="5"/>
      <c r="Q97" s="5"/>
      <c r="R97" s="5"/>
      <c r="S97" s="5"/>
      <c r="T97" s="42"/>
    </row>
    <row r="98" spans="1:20" ht="27.75" customHeight="1" x14ac:dyDescent="0.25">
      <c r="A98" s="40">
        <v>46127</v>
      </c>
      <c r="B98" s="5"/>
      <c r="C98" s="5"/>
      <c r="D98" s="5"/>
      <c r="E98" s="5" t="s">
        <v>322</v>
      </c>
      <c r="F98" s="5"/>
      <c r="G98" s="5"/>
      <c r="H98" s="41">
        <v>3296000</v>
      </c>
      <c r="I98" s="41">
        <v>3296000</v>
      </c>
      <c r="J98" s="40">
        <v>46127</v>
      </c>
      <c r="K98" s="5"/>
      <c r="L98" s="5"/>
      <c r="M98" s="5" t="s">
        <v>347</v>
      </c>
      <c r="N98" s="5"/>
      <c r="O98" s="5"/>
      <c r="P98" s="5"/>
      <c r="Q98" s="5"/>
      <c r="R98" s="5"/>
      <c r="S98" s="5"/>
      <c r="T98" s="42"/>
    </row>
    <row r="99" spans="1:20" ht="27.75" customHeight="1" x14ac:dyDescent="0.25">
      <c r="A99" s="40">
        <v>46127</v>
      </c>
      <c r="B99" s="5"/>
      <c r="C99" s="5"/>
      <c r="D99" s="5"/>
      <c r="E99" s="5" t="s">
        <v>338</v>
      </c>
      <c r="F99" s="5"/>
      <c r="G99" s="5"/>
      <c r="H99" s="41">
        <v>2796000</v>
      </c>
      <c r="I99" s="41">
        <v>2796000</v>
      </c>
      <c r="J99" s="40">
        <v>46127</v>
      </c>
      <c r="K99" s="5"/>
      <c r="L99" s="5"/>
      <c r="M99" s="5" t="s">
        <v>347</v>
      </c>
      <c r="N99" s="5"/>
      <c r="O99" s="5"/>
      <c r="P99" s="5"/>
      <c r="Q99" s="5"/>
      <c r="R99" s="5"/>
      <c r="S99" s="5"/>
      <c r="T99" s="42"/>
    </row>
    <row r="100" spans="1:20" ht="27.75" customHeight="1" x14ac:dyDescent="0.25">
      <c r="A100" s="40">
        <v>46127</v>
      </c>
      <c r="B100" s="5"/>
      <c r="C100" s="5"/>
      <c r="D100" s="5"/>
      <c r="E100" s="5" t="s">
        <v>348</v>
      </c>
      <c r="F100" s="5"/>
      <c r="G100" s="5"/>
      <c r="H100" s="41">
        <v>1007000</v>
      </c>
      <c r="I100" s="41">
        <v>1007000</v>
      </c>
      <c r="J100" s="40">
        <v>46127</v>
      </c>
      <c r="K100" s="5"/>
      <c r="L100" s="5"/>
      <c r="M100" s="5" t="s">
        <v>347</v>
      </c>
      <c r="N100" s="5"/>
      <c r="O100" s="5"/>
      <c r="P100" s="5"/>
      <c r="Q100" s="5"/>
      <c r="R100" s="5"/>
      <c r="S100" s="5"/>
      <c r="T100" s="42"/>
    </row>
    <row r="101" spans="1:20" ht="27.75" customHeight="1" x14ac:dyDescent="0.25">
      <c r="A101" s="40">
        <v>46127</v>
      </c>
      <c r="B101" s="5"/>
      <c r="C101" s="5"/>
      <c r="D101" s="5"/>
      <c r="E101" s="5" t="s">
        <v>349</v>
      </c>
      <c r="F101" s="5"/>
      <c r="G101" s="5"/>
      <c r="H101" s="41">
        <v>1875000</v>
      </c>
      <c r="I101" s="41">
        <v>1875000</v>
      </c>
      <c r="J101" s="40">
        <v>46127</v>
      </c>
      <c r="K101" s="5"/>
      <c r="L101" s="5"/>
      <c r="M101" s="5" t="s">
        <v>347</v>
      </c>
      <c r="N101" s="5"/>
      <c r="O101" s="5"/>
      <c r="P101" s="5"/>
      <c r="Q101" s="5"/>
      <c r="R101" s="5"/>
      <c r="S101" s="5"/>
      <c r="T101" s="42"/>
    </row>
    <row r="102" spans="1:20" ht="27.75" customHeight="1" x14ac:dyDescent="0.25">
      <c r="A102" s="40">
        <v>46127</v>
      </c>
      <c r="B102" s="5"/>
      <c r="C102" s="5"/>
      <c r="D102" s="5"/>
      <c r="E102" s="5" t="s">
        <v>350</v>
      </c>
      <c r="F102" s="5"/>
      <c r="G102" s="5"/>
      <c r="H102" s="41">
        <v>270000</v>
      </c>
      <c r="I102" s="41">
        <v>270000</v>
      </c>
      <c r="J102" s="40">
        <v>46127</v>
      </c>
      <c r="K102" s="5"/>
      <c r="L102" s="5"/>
      <c r="M102" s="5" t="s">
        <v>347</v>
      </c>
      <c r="N102" s="5"/>
      <c r="O102" s="5"/>
      <c r="P102" s="5"/>
      <c r="Q102" s="5"/>
      <c r="R102" s="5"/>
      <c r="S102" s="5"/>
      <c r="T102" s="42"/>
    </row>
    <row r="103" spans="1:20" ht="27.75" customHeight="1" x14ac:dyDescent="0.25">
      <c r="A103" s="40">
        <v>46128</v>
      </c>
      <c r="B103" s="5"/>
      <c r="C103" s="5"/>
      <c r="D103" s="5"/>
      <c r="E103" s="5" t="s">
        <v>322</v>
      </c>
      <c r="F103" s="5"/>
      <c r="G103" s="5"/>
      <c r="H103" s="41">
        <v>3104000</v>
      </c>
      <c r="I103" s="41">
        <v>3104000</v>
      </c>
      <c r="J103" s="40">
        <v>46128</v>
      </c>
      <c r="K103" s="5"/>
      <c r="L103" s="5"/>
      <c r="M103" s="5" t="s">
        <v>351</v>
      </c>
      <c r="N103" s="5"/>
      <c r="O103" s="5"/>
      <c r="P103" s="5"/>
      <c r="Q103" s="5"/>
      <c r="R103" s="5"/>
      <c r="S103" s="5"/>
      <c r="T103" s="42"/>
    </row>
    <row r="104" spans="1:20" ht="27.75" customHeight="1" x14ac:dyDescent="0.25">
      <c r="A104" s="40">
        <v>46128</v>
      </c>
      <c r="B104" s="5"/>
      <c r="C104" s="5"/>
      <c r="D104" s="5"/>
      <c r="E104" s="5" t="s">
        <v>344</v>
      </c>
      <c r="F104" s="5"/>
      <c r="G104" s="5"/>
      <c r="H104" s="41">
        <v>1552000</v>
      </c>
      <c r="I104" s="41">
        <v>1552000</v>
      </c>
      <c r="J104" s="40">
        <v>46128</v>
      </c>
      <c r="K104" s="5"/>
      <c r="L104" s="5"/>
      <c r="M104" s="5" t="s">
        <v>351</v>
      </c>
      <c r="N104" s="5"/>
      <c r="O104" s="5"/>
      <c r="P104" s="5"/>
      <c r="Q104" s="5"/>
      <c r="R104" s="5"/>
      <c r="S104" s="5"/>
      <c r="T104" s="42"/>
    </row>
    <row r="105" spans="1:20" ht="27.75" customHeight="1" x14ac:dyDescent="0.25">
      <c r="A105" s="40">
        <v>46129</v>
      </c>
      <c r="B105" s="5"/>
      <c r="C105" s="5"/>
      <c r="D105" s="5"/>
      <c r="E105" s="5" t="s">
        <v>352</v>
      </c>
      <c r="F105" s="5"/>
      <c r="G105" s="5"/>
      <c r="H105" s="41">
        <v>1552000</v>
      </c>
      <c r="I105" s="41">
        <v>1552000</v>
      </c>
      <c r="J105" s="40">
        <v>46129</v>
      </c>
      <c r="K105" s="5"/>
      <c r="L105" s="5"/>
      <c r="M105" s="5" t="s">
        <v>353</v>
      </c>
      <c r="N105" s="5"/>
      <c r="O105" s="5"/>
      <c r="P105" s="5"/>
      <c r="Q105" s="5"/>
      <c r="R105" s="5"/>
      <c r="S105" s="5"/>
      <c r="T105" s="42"/>
    </row>
    <row r="106" spans="1:20" ht="27.75" customHeight="1" x14ac:dyDescent="0.25">
      <c r="A106" s="40">
        <v>46128</v>
      </c>
      <c r="B106" s="5"/>
      <c r="C106" s="5"/>
      <c r="D106" s="5"/>
      <c r="E106" s="5" t="s">
        <v>344</v>
      </c>
      <c r="F106" s="5"/>
      <c r="G106" s="5"/>
      <c r="H106" s="41">
        <v>1552000</v>
      </c>
      <c r="I106" s="41">
        <v>1552000</v>
      </c>
      <c r="J106" s="40">
        <v>46129</v>
      </c>
      <c r="K106" s="5"/>
      <c r="L106" s="5"/>
      <c r="M106" s="5" t="s">
        <v>353</v>
      </c>
      <c r="N106" s="5"/>
      <c r="O106" s="5"/>
      <c r="P106" s="5"/>
      <c r="Q106" s="5"/>
      <c r="R106" s="5"/>
      <c r="S106" s="5"/>
      <c r="T106" s="42"/>
    </row>
    <row r="107" spans="1:20" ht="27.75" customHeight="1" x14ac:dyDescent="0.25">
      <c r="A107" s="40">
        <v>46129</v>
      </c>
      <c r="B107" s="5"/>
      <c r="C107" s="5"/>
      <c r="D107" s="5"/>
      <c r="E107" s="5" t="s">
        <v>354</v>
      </c>
      <c r="F107" s="5"/>
      <c r="G107" s="5"/>
      <c r="H107" s="41">
        <v>950000</v>
      </c>
      <c r="I107" s="41">
        <v>950000</v>
      </c>
      <c r="J107" s="40">
        <v>46129</v>
      </c>
      <c r="K107" s="5"/>
      <c r="L107" s="5"/>
      <c r="M107" s="5" t="s">
        <v>353</v>
      </c>
      <c r="N107" s="5"/>
      <c r="O107" s="5"/>
      <c r="P107" s="5"/>
      <c r="Q107" s="5"/>
      <c r="R107" s="5"/>
      <c r="S107" s="5"/>
      <c r="T107" s="42"/>
    </row>
    <row r="108" spans="1:20" ht="27.75" customHeight="1" x14ac:dyDescent="0.25">
      <c r="A108" s="40">
        <v>46129</v>
      </c>
      <c r="B108" s="5"/>
      <c r="C108" s="5"/>
      <c r="D108" s="5"/>
      <c r="E108" s="5" t="s">
        <v>341</v>
      </c>
      <c r="F108" s="5"/>
      <c r="G108" s="5"/>
      <c r="H108" s="41">
        <v>1800000</v>
      </c>
      <c r="I108" s="41">
        <v>1800000</v>
      </c>
      <c r="J108" s="40">
        <v>46129</v>
      </c>
      <c r="K108" s="5"/>
      <c r="L108" s="5"/>
      <c r="M108" s="5" t="s">
        <v>353</v>
      </c>
      <c r="N108" s="5"/>
      <c r="O108" s="5"/>
      <c r="P108" s="5"/>
      <c r="Q108" s="5"/>
      <c r="R108" s="5"/>
      <c r="S108" s="5"/>
      <c r="T108" s="42"/>
    </row>
    <row r="109" spans="1:20" ht="27.75" customHeight="1" x14ac:dyDescent="0.25">
      <c r="A109" s="40">
        <v>46129</v>
      </c>
      <c r="B109" s="5"/>
      <c r="C109" s="5"/>
      <c r="D109" s="5"/>
      <c r="E109" s="5" t="s">
        <v>355</v>
      </c>
      <c r="F109" s="5"/>
      <c r="G109" s="5"/>
      <c r="H109" s="41">
        <v>400000</v>
      </c>
      <c r="I109" s="41">
        <v>400000</v>
      </c>
      <c r="J109" s="40">
        <v>46129</v>
      </c>
      <c r="K109" s="5"/>
      <c r="L109" s="5"/>
      <c r="M109" s="5" t="s">
        <v>353</v>
      </c>
      <c r="N109" s="5"/>
      <c r="O109" s="5"/>
      <c r="P109" s="5"/>
      <c r="Q109" s="5"/>
      <c r="R109" s="5"/>
      <c r="S109" s="5"/>
      <c r="T109" s="42"/>
    </row>
    <row r="110" spans="1:20" ht="27.75" customHeight="1" x14ac:dyDescent="0.25">
      <c r="A110" s="40">
        <v>46129</v>
      </c>
      <c r="B110" s="5"/>
      <c r="C110" s="5"/>
      <c r="D110" s="5"/>
      <c r="E110" s="5" t="s">
        <v>356</v>
      </c>
      <c r="F110" s="5"/>
      <c r="G110" s="5"/>
      <c r="H110" s="41">
        <v>240000</v>
      </c>
      <c r="I110" s="41">
        <v>240000</v>
      </c>
      <c r="J110" s="40">
        <v>46129</v>
      </c>
      <c r="K110" s="5"/>
      <c r="L110" s="5"/>
      <c r="M110" s="5" t="s">
        <v>353</v>
      </c>
      <c r="N110" s="5"/>
      <c r="O110" s="5"/>
      <c r="P110" s="5"/>
      <c r="Q110" s="5"/>
      <c r="R110" s="5"/>
      <c r="S110" s="5"/>
      <c r="T110" s="42"/>
    </row>
    <row r="111" spans="1:20" ht="27.75" customHeight="1" x14ac:dyDescent="0.25">
      <c r="A111" s="40">
        <v>46129</v>
      </c>
      <c r="B111" s="5"/>
      <c r="C111" s="5"/>
      <c r="D111" s="5"/>
      <c r="E111" s="5" t="s">
        <v>357</v>
      </c>
      <c r="F111" s="5"/>
      <c r="G111" s="5"/>
      <c r="H111" s="41">
        <v>600000</v>
      </c>
      <c r="I111" s="41">
        <v>600000</v>
      </c>
      <c r="J111" s="40">
        <v>46129</v>
      </c>
      <c r="K111" s="5"/>
      <c r="L111" s="5"/>
      <c r="M111" s="5" t="s">
        <v>353</v>
      </c>
      <c r="N111" s="5"/>
      <c r="O111" s="5"/>
      <c r="P111" s="5"/>
      <c r="Q111" s="5"/>
      <c r="R111" s="5"/>
      <c r="S111" s="5"/>
      <c r="T111" s="42"/>
    </row>
    <row r="112" spans="1:20" ht="27.75" customHeight="1" x14ac:dyDescent="0.25">
      <c r="A112" s="40">
        <v>46130</v>
      </c>
      <c r="B112" s="5"/>
      <c r="C112" s="5"/>
      <c r="D112" s="5"/>
      <c r="E112" s="5" t="s">
        <v>352</v>
      </c>
      <c r="F112" s="5"/>
      <c r="G112" s="5"/>
      <c r="H112" s="41">
        <v>1552000</v>
      </c>
      <c r="I112" s="41">
        <v>1552000</v>
      </c>
      <c r="J112" s="40">
        <v>46130</v>
      </c>
      <c r="K112" s="5"/>
      <c r="L112" s="5"/>
      <c r="M112" s="5" t="s">
        <v>358</v>
      </c>
      <c r="N112" s="5"/>
      <c r="O112" s="5"/>
      <c r="P112" s="5"/>
      <c r="Q112" s="5"/>
      <c r="R112" s="5"/>
      <c r="S112" s="5"/>
      <c r="T112" s="42"/>
    </row>
    <row r="113" spans="1:20" ht="27.75" customHeight="1" x14ac:dyDescent="0.25">
      <c r="A113" s="40">
        <v>46130</v>
      </c>
      <c r="B113" s="5"/>
      <c r="C113" s="5"/>
      <c r="D113" s="5"/>
      <c r="E113" s="5" t="s">
        <v>359</v>
      </c>
      <c r="F113" s="5"/>
      <c r="G113" s="5"/>
      <c r="H113" s="41">
        <v>260000</v>
      </c>
      <c r="I113" s="41">
        <v>260000</v>
      </c>
      <c r="J113" s="40">
        <v>46130</v>
      </c>
      <c r="K113" s="5"/>
      <c r="L113" s="5"/>
      <c r="M113" s="5" t="s">
        <v>358</v>
      </c>
      <c r="N113" s="5"/>
      <c r="O113" s="5"/>
      <c r="P113" s="5"/>
      <c r="Q113" s="5"/>
      <c r="R113" s="5"/>
      <c r="S113" s="5"/>
      <c r="T113" s="42"/>
    </row>
    <row r="114" spans="1:20" ht="27.75" customHeight="1" x14ac:dyDescent="0.25">
      <c r="A114" s="40">
        <v>46130</v>
      </c>
      <c r="B114" s="5"/>
      <c r="C114" s="5"/>
      <c r="D114" s="5"/>
      <c r="E114" s="5" t="s">
        <v>360</v>
      </c>
      <c r="F114" s="5"/>
      <c r="G114" s="5"/>
      <c r="H114" s="41">
        <v>460000</v>
      </c>
      <c r="I114" s="41">
        <v>460000</v>
      </c>
      <c r="J114" s="40">
        <v>46130</v>
      </c>
      <c r="K114" s="5"/>
      <c r="L114" s="5"/>
      <c r="M114" s="5" t="s">
        <v>358</v>
      </c>
      <c r="N114" s="5"/>
      <c r="O114" s="5"/>
      <c r="P114" s="5"/>
      <c r="Q114" s="5"/>
      <c r="R114" s="5"/>
      <c r="S114" s="5"/>
      <c r="T114" s="42"/>
    </row>
    <row r="115" spans="1:20" ht="27.75" customHeight="1" x14ac:dyDescent="0.25">
      <c r="A115" s="40">
        <v>46130</v>
      </c>
      <c r="B115" s="5"/>
      <c r="C115" s="5"/>
      <c r="D115" s="5"/>
      <c r="E115" s="5" t="s">
        <v>361</v>
      </c>
      <c r="F115" s="5"/>
      <c r="G115" s="5"/>
      <c r="H115" s="41">
        <v>1352000</v>
      </c>
      <c r="I115" s="41">
        <v>1352000</v>
      </c>
      <c r="J115" s="40">
        <v>46130</v>
      </c>
      <c r="K115" s="5"/>
      <c r="L115" s="5"/>
      <c r="M115" s="5" t="s">
        <v>358</v>
      </c>
      <c r="N115" s="5"/>
      <c r="O115" s="5"/>
      <c r="P115" s="5"/>
      <c r="Q115" s="5"/>
      <c r="R115" s="5"/>
      <c r="S115" s="5"/>
      <c r="T115" s="42"/>
    </row>
    <row r="116" spans="1:20" ht="27.75" customHeight="1" x14ac:dyDescent="0.25">
      <c r="A116" s="40">
        <v>46130</v>
      </c>
      <c r="B116" s="5"/>
      <c r="C116" s="5"/>
      <c r="D116" s="5"/>
      <c r="E116" s="5" t="s">
        <v>362</v>
      </c>
      <c r="F116" s="5"/>
      <c r="G116" s="5"/>
      <c r="H116" s="41">
        <v>500000</v>
      </c>
      <c r="I116" s="41">
        <v>500000</v>
      </c>
      <c r="J116" s="40">
        <v>46130</v>
      </c>
      <c r="K116" s="5"/>
      <c r="L116" s="5"/>
      <c r="M116" s="5" t="s">
        <v>358</v>
      </c>
      <c r="N116" s="5"/>
      <c r="O116" s="5"/>
      <c r="P116" s="5"/>
      <c r="Q116" s="5"/>
      <c r="R116" s="5"/>
      <c r="S116" s="5"/>
      <c r="T116" s="42"/>
    </row>
    <row r="117" spans="1:20" ht="27.75" customHeight="1" x14ac:dyDescent="0.25">
      <c r="A117" s="40">
        <v>46131</v>
      </c>
      <c r="B117" s="5"/>
      <c r="C117" s="5"/>
      <c r="D117" s="5"/>
      <c r="E117" s="5" t="s">
        <v>363</v>
      </c>
      <c r="F117" s="5"/>
      <c r="G117" s="5"/>
      <c r="H117" s="41">
        <v>630000</v>
      </c>
      <c r="I117" s="41">
        <v>630000</v>
      </c>
      <c r="J117" s="40">
        <v>46131</v>
      </c>
      <c r="K117" s="5"/>
      <c r="L117" s="5"/>
      <c r="M117" s="5" t="s">
        <v>364</v>
      </c>
      <c r="N117" s="5"/>
      <c r="O117" s="5"/>
      <c r="P117" s="5"/>
      <c r="Q117" s="5"/>
      <c r="R117" s="5"/>
      <c r="S117" s="5"/>
      <c r="T117" s="42"/>
    </row>
    <row r="118" spans="1:20" ht="27.75" customHeight="1" x14ac:dyDescent="0.25">
      <c r="A118" s="40">
        <v>46132</v>
      </c>
      <c r="B118" s="5"/>
      <c r="C118" s="5"/>
      <c r="D118" s="5"/>
      <c r="E118" s="5" t="s">
        <v>352</v>
      </c>
      <c r="F118" s="5"/>
      <c r="G118" s="5"/>
      <c r="H118" s="41">
        <v>1552000</v>
      </c>
      <c r="I118" s="41">
        <v>1552000</v>
      </c>
      <c r="J118" s="40">
        <v>46132</v>
      </c>
      <c r="K118" s="5"/>
      <c r="L118" s="5"/>
      <c r="M118" s="5" t="s">
        <v>365</v>
      </c>
      <c r="N118" s="5"/>
      <c r="O118" s="5"/>
      <c r="P118" s="5"/>
      <c r="Q118" s="5"/>
      <c r="R118" s="5"/>
      <c r="S118" s="5"/>
      <c r="T118" s="42"/>
    </row>
    <row r="119" spans="1:20" ht="27.75" customHeight="1" x14ac:dyDescent="0.25">
      <c r="A119" s="40">
        <v>46132</v>
      </c>
      <c r="B119" s="5"/>
      <c r="C119" s="5"/>
      <c r="D119" s="5"/>
      <c r="E119" s="5" t="s">
        <v>366</v>
      </c>
      <c r="F119" s="5"/>
      <c r="G119" s="5"/>
      <c r="H119" s="41">
        <v>172000</v>
      </c>
      <c r="I119" s="41">
        <v>172000</v>
      </c>
      <c r="J119" s="40">
        <v>46132</v>
      </c>
      <c r="K119" s="5"/>
      <c r="L119" s="5"/>
      <c r="M119" s="5" t="s">
        <v>365</v>
      </c>
      <c r="N119" s="5"/>
      <c r="O119" s="5"/>
      <c r="P119" s="5"/>
      <c r="Q119" s="5"/>
      <c r="R119" s="5"/>
      <c r="S119" s="5"/>
      <c r="T119" s="42"/>
    </row>
    <row r="120" spans="1:20" ht="27.75" customHeight="1" x14ac:dyDescent="0.25">
      <c r="A120" s="40">
        <v>46132</v>
      </c>
      <c r="B120" s="5"/>
      <c r="C120" s="5"/>
      <c r="D120" s="5"/>
      <c r="E120" s="5" t="s">
        <v>367</v>
      </c>
      <c r="F120" s="5"/>
      <c r="G120" s="5"/>
      <c r="H120" s="41">
        <v>135000</v>
      </c>
      <c r="I120" s="41">
        <v>135000</v>
      </c>
      <c r="J120" s="40">
        <v>46132</v>
      </c>
      <c r="K120" s="5"/>
      <c r="L120" s="5"/>
      <c r="M120" s="5" t="s">
        <v>365</v>
      </c>
      <c r="N120" s="5"/>
      <c r="O120" s="5"/>
      <c r="P120" s="5"/>
      <c r="Q120" s="5"/>
      <c r="R120" s="5"/>
      <c r="S120" s="5"/>
      <c r="T120" s="42"/>
    </row>
    <row r="121" spans="1:20" ht="27.75" customHeight="1" x14ac:dyDescent="0.25">
      <c r="A121" s="40">
        <v>46132</v>
      </c>
      <c r="B121" s="5"/>
      <c r="C121" s="5"/>
      <c r="D121" s="5"/>
      <c r="E121" s="5" t="s">
        <v>368</v>
      </c>
      <c r="F121" s="5"/>
      <c r="G121" s="5"/>
      <c r="H121" s="41">
        <v>6480000</v>
      </c>
      <c r="I121" s="41">
        <v>6480000</v>
      </c>
      <c r="J121" s="40">
        <v>46132</v>
      </c>
      <c r="K121" s="5"/>
      <c r="L121" s="5"/>
      <c r="M121" s="5" t="s">
        <v>365</v>
      </c>
      <c r="N121" s="5"/>
      <c r="O121" s="5"/>
      <c r="P121" s="5"/>
      <c r="Q121" s="5"/>
      <c r="R121" s="5"/>
      <c r="S121" s="5"/>
      <c r="T121" s="42"/>
    </row>
    <row r="122" spans="1:20" ht="27.75" customHeight="1" x14ac:dyDescent="0.25">
      <c r="A122" s="40">
        <v>46132</v>
      </c>
      <c r="B122" s="5"/>
      <c r="C122" s="5"/>
      <c r="D122" s="5"/>
      <c r="E122" s="5" t="s">
        <v>369</v>
      </c>
      <c r="F122" s="5"/>
      <c r="G122" s="5"/>
      <c r="H122" s="41">
        <v>3000000</v>
      </c>
      <c r="I122" s="41">
        <v>3000000</v>
      </c>
      <c r="J122" s="40">
        <v>46132</v>
      </c>
      <c r="K122" s="5"/>
      <c r="L122" s="5"/>
      <c r="M122" s="5" t="s">
        <v>365</v>
      </c>
      <c r="N122" s="5"/>
      <c r="O122" s="5"/>
      <c r="P122" s="5"/>
      <c r="Q122" s="5"/>
      <c r="R122" s="5"/>
      <c r="S122" s="5"/>
      <c r="T122" s="42"/>
    </row>
    <row r="123" spans="1:20" ht="27.75" customHeight="1" x14ac:dyDescent="0.25">
      <c r="A123" s="40">
        <v>46133</v>
      </c>
      <c r="B123" s="5"/>
      <c r="C123" s="5"/>
      <c r="D123" s="5"/>
      <c r="E123" s="5" t="s">
        <v>322</v>
      </c>
      <c r="F123" s="5"/>
      <c r="G123" s="5"/>
      <c r="H123" s="41">
        <v>3104000</v>
      </c>
      <c r="I123" s="41">
        <v>3104000</v>
      </c>
      <c r="J123" s="40">
        <v>46133</v>
      </c>
      <c r="K123" s="5"/>
      <c r="L123" s="5"/>
      <c r="M123" s="5" t="s">
        <v>370</v>
      </c>
      <c r="N123" s="5"/>
      <c r="O123" s="5"/>
      <c r="P123" s="5"/>
      <c r="Q123" s="5"/>
      <c r="R123" s="5"/>
      <c r="S123" s="5"/>
      <c r="T123" s="42"/>
    </row>
    <row r="124" spans="1:20" ht="27.75" customHeight="1" x14ac:dyDescent="0.25">
      <c r="A124" s="40">
        <v>46133</v>
      </c>
      <c r="B124" s="5"/>
      <c r="C124" s="5"/>
      <c r="D124" s="5"/>
      <c r="E124" s="5" t="s">
        <v>331</v>
      </c>
      <c r="F124" s="5"/>
      <c r="G124" s="5"/>
      <c r="H124" s="41">
        <v>15965000</v>
      </c>
      <c r="I124" s="41">
        <v>15965000</v>
      </c>
      <c r="J124" s="40">
        <v>46133</v>
      </c>
      <c r="K124" s="5"/>
      <c r="L124" s="5"/>
      <c r="M124" s="5" t="s">
        <v>370</v>
      </c>
      <c r="N124" s="5"/>
      <c r="O124" s="5"/>
      <c r="P124" s="5"/>
      <c r="Q124" s="5"/>
      <c r="R124" s="5"/>
      <c r="S124" s="5"/>
      <c r="T124" s="42"/>
    </row>
    <row r="125" spans="1:20" ht="27.75" customHeight="1" x14ac:dyDescent="0.25">
      <c r="A125" s="40">
        <v>46133</v>
      </c>
      <c r="B125" s="5"/>
      <c r="C125" s="5"/>
      <c r="D125" s="5"/>
      <c r="E125" s="5" t="s">
        <v>371</v>
      </c>
      <c r="F125" s="5"/>
      <c r="G125" s="5"/>
      <c r="H125" s="41">
        <v>679000</v>
      </c>
      <c r="I125" s="41">
        <v>679000</v>
      </c>
      <c r="J125" s="40">
        <v>46133</v>
      </c>
      <c r="K125" s="5"/>
      <c r="L125" s="5"/>
      <c r="M125" s="5" t="s">
        <v>370</v>
      </c>
      <c r="N125" s="5"/>
      <c r="O125" s="5"/>
      <c r="P125" s="5"/>
      <c r="Q125" s="5"/>
      <c r="R125" s="5"/>
      <c r="S125" s="5"/>
      <c r="T125" s="42"/>
    </row>
    <row r="126" spans="1:20" ht="27.75" customHeight="1" x14ac:dyDescent="0.25">
      <c r="A126" s="40">
        <v>46133</v>
      </c>
      <c r="B126" s="5"/>
      <c r="C126" s="5"/>
      <c r="D126" s="5"/>
      <c r="E126" s="5" t="s">
        <v>372</v>
      </c>
      <c r="F126" s="5"/>
      <c r="G126" s="5"/>
      <c r="H126" s="41">
        <v>1894000</v>
      </c>
      <c r="I126" s="41">
        <v>1894000</v>
      </c>
      <c r="J126" s="40">
        <v>46133</v>
      </c>
      <c r="K126" s="5"/>
      <c r="L126" s="5"/>
      <c r="M126" s="5" t="s">
        <v>370</v>
      </c>
      <c r="N126" s="5"/>
      <c r="O126" s="5"/>
      <c r="P126" s="5"/>
      <c r="Q126" s="5"/>
      <c r="R126" s="5"/>
      <c r="S126" s="5"/>
      <c r="T126" s="42"/>
    </row>
    <row r="127" spans="1:20" ht="27.75" customHeight="1" x14ac:dyDescent="0.25">
      <c r="A127" s="40">
        <v>46134</v>
      </c>
      <c r="B127" s="5"/>
      <c r="C127" s="5"/>
      <c r="D127" s="5"/>
      <c r="E127" s="5" t="s">
        <v>288</v>
      </c>
      <c r="F127" s="5"/>
      <c r="G127" s="5"/>
      <c r="H127" s="41">
        <v>5570000</v>
      </c>
      <c r="I127" s="41">
        <v>5570000</v>
      </c>
      <c r="J127" s="40">
        <v>46134</v>
      </c>
      <c r="K127" s="5"/>
      <c r="L127" s="5"/>
      <c r="M127" s="5" t="s">
        <v>373</v>
      </c>
      <c r="N127" s="5"/>
      <c r="O127" s="5"/>
      <c r="P127" s="5"/>
      <c r="Q127" s="5"/>
      <c r="R127" s="5"/>
      <c r="S127" s="5"/>
      <c r="T127" s="42"/>
    </row>
    <row r="128" spans="1:20" ht="27.75" customHeight="1" x14ac:dyDescent="0.25">
      <c r="A128" s="40">
        <v>46134</v>
      </c>
      <c r="B128" s="5"/>
      <c r="C128" s="5"/>
      <c r="D128" s="5"/>
      <c r="E128" s="5" t="s">
        <v>289</v>
      </c>
      <c r="F128" s="5"/>
      <c r="G128" s="5"/>
      <c r="H128" s="41">
        <v>100000</v>
      </c>
      <c r="I128" s="41">
        <v>100000</v>
      </c>
      <c r="J128" s="40">
        <v>46134</v>
      </c>
      <c r="K128" s="5"/>
      <c r="L128" s="5"/>
      <c r="M128" s="5" t="s">
        <v>373</v>
      </c>
      <c r="N128" s="5"/>
      <c r="O128" s="5"/>
      <c r="P128" s="5"/>
      <c r="Q128" s="5"/>
      <c r="R128" s="5"/>
      <c r="S128" s="5"/>
      <c r="T128" s="42"/>
    </row>
    <row r="129" spans="1:20" ht="27.75" customHeight="1" x14ac:dyDescent="0.25">
      <c r="A129" s="40">
        <v>46134</v>
      </c>
      <c r="B129" s="5"/>
      <c r="C129" s="5"/>
      <c r="D129" s="5"/>
      <c r="E129" s="5" t="s">
        <v>374</v>
      </c>
      <c r="F129" s="5"/>
      <c r="G129" s="5"/>
      <c r="H129" s="41">
        <v>1320000</v>
      </c>
      <c r="I129" s="41">
        <v>1320000</v>
      </c>
      <c r="J129" s="40">
        <v>46134</v>
      </c>
      <c r="K129" s="5"/>
      <c r="L129" s="5"/>
      <c r="M129" s="5" t="s">
        <v>373</v>
      </c>
      <c r="N129" s="5"/>
      <c r="O129" s="5"/>
      <c r="P129" s="5"/>
      <c r="Q129" s="5"/>
      <c r="R129" s="5"/>
      <c r="S129" s="5"/>
      <c r="T129" s="42"/>
    </row>
    <row r="130" spans="1:20" ht="27.75" customHeight="1" x14ac:dyDescent="0.25">
      <c r="A130" s="40">
        <v>46134</v>
      </c>
      <c r="B130" s="5"/>
      <c r="C130" s="5"/>
      <c r="D130" s="5"/>
      <c r="E130" s="5" t="s">
        <v>375</v>
      </c>
      <c r="F130" s="5"/>
      <c r="G130" s="5"/>
      <c r="H130" s="41">
        <v>960000</v>
      </c>
      <c r="I130" s="41">
        <v>960000</v>
      </c>
      <c r="J130" s="40">
        <v>46134</v>
      </c>
      <c r="K130" s="5"/>
      <c r="L130" s="5"/>
      <c r="M130" s="5" t="s">
        <v>373</v>
      </c>
      <c r="N130" s="5"/>
      <c r="O130" s="5"/>
      <c r="P130" s="5"/>
      <c r="Q130" s="5"/>
      <c r="R130" s="5"/>
      <c r="S130" s="5"/>
      <c r="T130" s="42"/>
    </row>
    <row r="131" spans="1:20" ht="27.75" customHeight="1" x14ac:dyDescent="0.25">
      <c r="A131" s="40">
        <v>46134</v>
      </c>
      <c r="B131" s="5"/>
      <c r="C131" s="5"/>
      <c r="D131" s="5"/>
      <c r="E131" s="5" t="s">
        <v>376</v>
      </c>
      <c r="F131" s="5"/>
      <c r="G131" s="5"/>
      <c r="H131" s="41">
        <v>960000</v>
      </c>
      <c r="I131" s="41">
        <v>960000</v>
      </c>
      <c r="J131" s="40">
        <v>46134</v>
      </c>
      <c r="K131" s="5"/>
      <c r="L131" s="5"/>
      <c r="M131" s="5" t="s">
        <v>373</v>
      </c>
      <c r="N131" s="5"/>
      <c r="O131" s="5"/>
      <c r="P131" s="5"/>
      <c r="Q131" s="5"/>
      <c r="R131" s="5"/>
      <c r="S131" s="5"/>
      <c r="T131" s="42"/>
    </row>
    <row r="132" spans="1:20" ht="27.75" customHeight="1" x14ac:dyDescent="0.25">
      <c r="A132" s="40">
        <v>46134</v>
      </c>
      <c r="B132" s="5"/>
      <c r="C132" s="5"/>
      <c r="D132" s="5"/>
      <c r="E132" s="5" t="s">
        <v>377</v>
      </c>
      <c r="F132" s="5"/>
      <c r="G132" s="5"/>
      <c r="H132" s="41">
        <v>1200000</v>
      </c>
      <c r="I132" s="41">
        <v>1200000</v>
      </c>
      <c r="J132" s="40">
        <v>46134</v>
      </c>
      <c r="K132" s="5"/>
      <c r="L132" s="5"/>
      <c r="M132" s="5" t="s">
        <v>373</v>
      </c>
      <c r="N132" s="5"/>
      <c r="O132" s="5"/>
      <c r="P132" s="5"/>
      <c r="Q132" s="5"/>
      <c r="R132" s="5"/>
      <c r="S132" s="5"/>
      <c r="T132" s="42"/>
    </row>
    <row r="133" spans="1:20" ht="27.75" customHeight="1" x14ac:dyDescent="0.25">
      <c r="A133" s="40">
        <v>46134</v>
      </c>
      <c r="B133" s="5"/>
      <c r="C133" s="5"/>
      <c r="D133" s="5"/>
      <c r="E133" s="5" t="s">
        <v>378</v>
      </c>
      <c r="F133" s="5"/>
      <c r="G133" s="5"/>
      <c r="H133" s="41">
        <v>1200000</v>
      </c>
      <c r="I133" s="41">
        <v>1200000</v>
      </c>
      <c r="J133" s="40">
        <v>46134</v>
      </c>
      <c r="K133" s="5"/>
      <c r="L133" s="5"/>
      <c r="M133" s="5" t="s">
        <v>373</v>
      </c>
      <c r="N133" s="5"/>
      <c r="O133" s="5"/>
      <c r="P133" s="5"/>
      <c r="Q133" s="5"/>
      <c r="R133" s="5"/>
      <c r="S133" s="5"/>
      <c r="T133" s="42"/>
    </row>
    <row r="134" spans="1:20" ht="27.75" customHeight="1" x14ac:dyDescent="0.25">
      <c r="A134" s="40">
        <v>46134</v>
      </c>
      <c r="B134" s="5"/>
      <c r="C134" s="5"/>
      <c r="D134" s="5"/>
      <c r="E134" s="5" t="s">
        <v>379</v>
      </c>
      <c r="F134" s="5"/>
      <c r="G134" s="5"/>
      <c r="H134" s="41">
        <v>960000</v>
      </c>
      <c r="I134" s="41">
        <v>960000</v>
      </c>
      <c r="J134" s="40">
        <v>46134</v>
      </c>
      <c r="K134" s="5"/>
      <c r="L134" s="5"/>
      <c r="M134" s="5" t="s">
        <v>373</v>
      </c>
      <c r="N134" s="5"/>
      <c r="O134" s="5"/>
      <c r="P134" s="5"/>
      <c r="Q134" s="5"/>
      <c r="R134" s="5"/>
      <c r="S134" s="5"/>
      <c r="T134" s="42"/>
    </row>
    <row r="135" spans="1:20" ht="27.75" customHeight="1" x14ac:dyDescent="0.25">
      <c r="A135" s="40">
        <v>46134</v>
      </c>
      <c r="B135" s="5"/>
      <c r="C135" s="5"/>
      <c r="D135" s="5"/>
      <c r="E135" s="5" t="s">
        <v>380</v>
      </c>
      <c r="F135" s="5"/>
      <c r="G135" s="5"/>
      <c r="H135" s="41">
        <v>1560000</v>
      </c>
      <c r="I135" s="41">
        <v>1560000</v>
      </c>
      <c r="J135" s="40">
        <v>46134</v>
      </c>
      <c r="K135" s="5"/>
      <c r="L135" s="5"/>
      <c r="M135" s="5" t="s">
        <v>373</v>
      </c>
      <c r="N135" s="5"/>
      <c r="O135" s="5"/>
      <c r="P135" s="5"/>
      <c r="Q135" s="5"/>
      <c r="R135" s="5"/>
      <c r="S135" s="5"/>
      <c r="T135" s="42"/>
    </row>
    <row r="136" spans="1:20" ht="27.75" customHeight="1" x14ac:dyDescent="0.25">
      <c r="A136" s="40">
        <v>46134</v>
      </c>
      <c r="B136" s="5"/>
      <c r="C136" s="5"/>
      <c r="D136" s="5"/>
      <c r="E136" s="5" t="s">
        <v>381</v>
      </c>
      <c r="F136" s="5"/>
      <c r="G136" s="5"/>
      <c r="H136" s="41">
        <v>720000</v>
      </c>
      <c r="I136" s="41">
        <v>720000</v>
      </c>
      <c r="J136" s="40">
        <v>46134</v>
      </c>
      <c r="K136" s="5"/>
      <c r="L136" s="5"/>
      <c r="M136" s="5" t="s">
        <v>373</v>
      </c>
      <c r="N136" s="5"/>
      <c r="O136" s="5"/>
      <c r="P136" s="5"/>
      <c r="Q136" s="5"/>
      <c r="R136" s="5"/>
      <c r="S136" s="5"/>
      <c r="T136" s="42"/>
    </row>
    <row r="137" spans="1:20" ht="27.75" customHeight="1" x14ac:dyDescent="0.25">
      <c r="A137" s="40">
        <v>46134</v>
      </c>
      <c r="B137" s="5"/>
      <c r="C137" s="5"/>
      <c r="D137" s="5"/>
      <c r="E137" s="5" t="s">
        <v>382</v>
      </c>
      <c r="F137" s="5"/>
      <c r="G137" s="5"/>
      <c r="H137" s="41">
        <v>480000</v>
      </c>
      <c r="I137" s="41">
        <v>480000</v>
      </c>
      <c r="J137" s="40">
        <v>46134</v>
      </c>
      <c r="K137" s="5"/>
      <c r="L137" s="5"/>
      <c r="M137" s="5" t="s">
        <v>373</v>
      </c>
      <c r="N137" s="5"/>
      <c r="O137" s="5"/>
      <c r="P137" s="5"/>
      <c r="Q137" s="5"/>
      <c r="R137" s="5"/>
      <c r="S137" s="5"/>
      <c r="T137" s="42"/>
    </row>
    <row r="138" spans="1:20" ht="27.75" customHeight="1" x14ac:dyDescent="0.25">
      <c r="A138" s="40">
        <v>46134</v>
      </c>
      <c r="B138" s="5"/>
      <c r="C138" s="5"/>
      <c r="D138" s="5"/>
      <c r="E138" s="5" t="s">
        <v>383</v>
      </c>
      <c r="F138" s="5"/>
      <c r="G138" s="5"/>
      <c r="H138" s="41">
        <v>840000</v>
      </c>
      <c r="I138" s="41">
        <v>840000</v>
      </c>
      <c r="J138" s="40">
        <v>46134</v>
      </c>
      <c r="K138" s="5"/>
      <c r="L138" s="5"/>
      <c r="M138" s="5" t="s">
        <v>373</v>
      </c>
      <c r="N138" s="5"/>
      <c r="O138" s="5"/>
      <c r="P138" s="5"/>
      <c r="Q138" s="5"/>
      <c r="R138" s="5"/>
      <c r="S138" s="5"/>
      <c r="T138" s="42"/>
    </row>
    <row r="139" spans="1:20" ht="27.75" customHeight="1" x14ac:dyDescent="0.25">
      <c r="A139" s="40">
        <v>46134</v>
      </c>
      <c r="B139" s="5"/>
      <c r="C139" s="5"/>
      <c r="D139" s="5"/>
      <c r="E139" s="5" t="s">
        <v>384</v>
      </c>
      <c r="F139" s="5"/>
      <c r="G139" s="5"/>
      <c r="H139" s="41">
        <v>560000</v>
      </c>
      <c r="I139" s="41">
        <v>560000</v>
      </c>
      <c r="J139" s="40">
        <v>46134</v>
      </c>
      <c r="K139" s="5"/>
      <c r="L139" s="5"/>
      <c r="M139" s="5" t="s">
        <v>373</v>
      </c>
      <c r="N139" s="5"/>
      <c r="O139" s="5"/>
      <c r="P139" s="5"/>
      <c r="Q139" s="5"/>
      <c r="R139" s="5"/>
      <c r="S139" s="5"/>
      <c r="T139" s="42"/>
    </row>
    <row r="140" spans="1:20" ht="27.75" customHeight="1" x14ac:dyDescent="0.25">
      <c r="A140" s="40">
        <v>46134</v>
      </c>
      <c r="B140" s="5"/>
      <c r="C140" s="5"/>
      <c r="D140" s="5"/>
      <c r="E140" s="5" t="s">
        <v>385</v>
      </c>
      <c r="F140" s="5"/>
      <c r="G140" s="5"/>
      <c r="H140" s="41">
        <v>480000</v>
      </c>
      <c r="I140" s="41">
        <v>480000</v>
      </c>
      <c r="J140" s="40">
        <v>46134</v>
      </c>
      <c r="K140" s="5"/>
      <c r="L140" s="5"/>
      <c r="M140" s="5" t="s">
        <v>373</v>
      </c>
      <c r="N140" s="5"/>
      <c r="O140" s="5"/>
      <c r="P140" s="5"/>
      <c r="Q140" s="5"/>
      <c r="R140" s="5"/>
      <c r="S140" s="5"/>
      <c r="T140" s="42"/>
    </row>
    <row r="141" spans="1:20" ht="27.75" customHeight="1" x14ac:dyDescent="0.25">
      <c r="A141" s="40">
        <v>46134</v>
      </c>
      <c r="B141" s="5"/>
      <c r="C141" s="5"/>
      <c r="D141" s="5"/>
      <c r="E141" s="5" t="s">
        <v>386</v>
      </c>
      <c r="F141" s="5"/>
      <c r="G141" s="5"/>
      <c r="H141" s="41">
        <v>480000</v>
      </c>
      <c r="I141" s="41">
        <v>480000</v>
      </c>
      <c r="J141" s="40">
        <v>46134</v>
      </c>
      <c r="K141" s="5"/>
      <c r="L141" s="5"/>
      <c r="M141" s="5" t="s">
        <v>373</v>
      </c>
      <c r="N141" s="5"/>
      <c r="O141" s="5"/>
      <c r="P141" s="5"/>
      <c r="Q141" s="5"/>
      <c r="R141" s="5"/>
      <c r="S141" s="5"/>
      <c r="T141" s="42"/>
    </row>
    <row r="142" spans="1:20" ht="27.75" customHeight="1" x14ac:dyDescent="0.25">
      <c r="A142" s="40">
        <v>46135</v>
      </c>
      <c r="B142" s="5"/>
      <c r="C142" s="5"/>
      <c r="D142" s="5"/>
      <c r="E142" s="5" t="s">
        <v>387</v>
      </c>
      <c r="F142" s="5"/>
      <c r="G142" s="5"/>
      <c r="H142" s="41">
        <v>1392500</v>
      </c>
      <c r="I142" s="41">
        <v>1392500</v>
      </c>
      <c r="J142" s="40">
        <v>46135</v>
      </c>
      <c r="K142" s="5"/>
      <c r="L142" s="5"/>
      <c r="M142" s="5" t="s">
        <v>388</v>
      </c>
      <c r="N142" s="5"/>
      <c r="O142" s="5"/>
      <c r="P142" s="5"/>
      <c r="Q142" s="5"/>
      <c r="R142" s="5"/>
      <c r="S142" s="5"/>
      <c r="T142" s="42"/>
    </row>
    <row r="143" spans="1:20" ht="27.75" customHeight="1" x14ac:dyDescent="0.25">
      <c r="A143" s="40">
        <v>46136</v>
      </c>
      <c r="B143" s="5"/>
      <c r="C143" s="5"/>
      <c r="D143" s="5"/>
      <c r="E143" s="5" t="s">
        <v>389</v>
      </c>
      <c r="F143" s="5"/>
      <c r="G143" s="5"/>
      <c r="H143" s="41">
        <v>2669000</v>
      </c>
      <c r="I143" s="41">
        <v>2669000</v>
      </c>
      <c r="J143" s="40">
        <v>46136</v>
      </c>
      <c r="K143" s="5"/>
      <c r="L143" s="5"/>
      <c r="M143" s="5" t="s">
        <v>390</v>
      </c>
      <c r="N143" s="5"/>
      <c r="O143" s="5"/>
      <c r="P143" s="5"/>
      <c r="Q143" s="5"/>
      <c r="R143" s="5"/>
      <c r="S143" s="5"/>
      <c r="T143" s="42"/>
    </row>
    <row r="144" spans="1:20" ht="27.75" customHeight="1" x14ac:dyDescent="0.25">
      <c r="A144" s="40">
        <v>46136</v>
      </c>
      <c r="B144" s="5"/>
      <c r="C144" s="5"/>
      <c r="D144" s="5"/>
      <c r="E144" s="5" t="s">
        <v>295</v>
      </c>
      <c r="F144" s="5"/>
      <c r="G144" s="5"/>
      <c r="H144" s="41">
        <v>1334500</v>
      </c>
      <c r="I144" s="41">
        <v>1334500</v>
      </c>
      <c r="J144" s="40">
        <v>46136</v>
      </c>
      <c r="K144" s="5"/>
      <c r="L144" s="5"/>
      <c r="M144" s="5" t="s">
        <v>390</v>
      </c>
      <c r="N144" s="5"/>
      <c r="O144" s="5"/>
      <c r="P144" s="5"/>
      <c r="Q144" s="5"/>
      <c r="R144" s="5"/>
      <c r="S144" s="5"/>
      <c r="T144" s="42"/>
    </row>
    <row r="145" spans="1:20" ht="27.75" customHeight="1" x14ac:dyDescent="0.25">
      <c r="A145" s="40">
        <v>46134</v>
      </c>
      <c r="B145" s="5"/>
      <c r="C145" s="5"/>
      <c r="D145" s="5"/>
      <c r="E145" s="5" t="s">
        <v>297</v>
      </c>
      <c r="F145" s="5"/>
      <c r="G145" s="5"/>
      <c r="H145" s="41">
        <v>100000</v>
      </c>
      <c r="I145" s="41">
        <v>100000</v>
      </c>
      <c r="J145" s="40">
        <v>46134</v>
      </c>
      <c r="K145" s="5"/>
      <c r="L145" s="5"/>
      <c r="M145" s="5" t="s">
        <v>373</v>
      </c>
      <c r="N145" s="5"/>
      <c r="O145" s="5"/>
      <c r="P145" s="5"/>
      <c r="Q145" s="5"/>
      <c r="R145" s="5"/>
      <c r="S145" s="5"/>
      <c r="T145" s="42"/>
    </row>
    <row r="146" spans="1:20" ht="27.75" customHeight="1" x14ac:dyDescent="0.25">
      <c r="A146" s="40">
        <v>46137</v>
      </c>
      <c r="B146" s="5"/>
      <c r="C146" s="5"/>
      <c r="D146" s="5"/>
      <c r="E146" s="5" t="s">
        <v>295</v>
      </c>
      <c r="F146" s="5"/>
      <c r="G146" s="5"/>
      <c r="H146" s="41">
        <v>2669000</v>
      </c>
      <c r="I146" s="41">
        <v>2669000</v>
      </c>
      <c r="J146" s="40">
        <v>46137</v>
      </c>
      <c r="K146" s="5"/>
      <c r="L146" s="5"/>
      <c r="M146" s="5" t="s">
        <v>391</v>
      </c>
      <c r="N146" s="5"/>
      <c r="O146" s="5"/>
      <c r="P146" s="5"/>
      <c r="Q146" s="5"/>
      <c r="R146" s="5"/>
      <c r="S146" s="5"/>
      <c r="T146" s="42"/>
    </row>
    <row r="147" spans="1:20" ht="27.75" customHeight="1" x14ac:dyDescent="0.25">
      <c r="A147" s="40">
        <v>46137</v>
      </c>
      <c r="B147" s="5"/>
      <c r="C147" s="5"/>
      <c r="D147" s="5"/>
      <c r="E147" s="5" t="s">
        <v>295</v>
      </c>
      <c r="F147" s="5"/>
      <c r="G147" s="5"/>
      <c r="H147" s="41">
        <v>2669000</v>
      </c>
      <c r="I147" s="41">
        <v>2669000</v>
      </c>
      <c r="J147" s="40">
        <v>46137</v>
      </c>
      <c r="K147" s="5"/>
      <c r="L147" s="5"/>
      <c r="M147" s="5" t="s">
        <v>391</v>
      </c>
      <c r="N147" s="5"/>
      <c r="O147" s="5"/>
      <c r="P147" s="5"/>
      <c r="Q147" s="5"/>
      <c r="R147" s="5"/>
      <c r="S147" s="5"/>
      <c r="T147" s="42"/>
    </row>
    <row r="148" spans="1:20" ht="27.75" customHeight="1" x14ac:dyDescent="0.25">
      <c r="A148" s="40">
        <v>46134</v>
      </c>
      <c r="B148" s="5"/>
      <c r="C148" s="5"/>
      <c r="D148" s="5"/>
      <c r="E148" s="5" t="s">
        <v>297</v>
      </c>
      <c r="F148" s="5"/>
      <c r="G148" s="5"/>
      <c r="H148" s="41">
        <v>100000</v>
      </c>
      <c r="I148" s="41">
        <v>100000</v>
      </c>
      <c r="J148" s="40">
        <v>46134</v>
      </c>
      <c r="K148" s="5"/>
      <c r="L148" s="5"/>
      <c r="M148" s="5" t="s">
        <v>373</v>
      </c>
      <c r="N148" s="5"/>
      <c r="O148" s="5"/>
      <c r="P148" s="5"/>
      <c r="Q148" s="5"/>
      <c r="R148" s="5"/>
      <c r="S148" s="5"/>
      <c r="T148" s="42"/>
    </row>
    <row r="149" spans="1:20" ht="27.75" customHeight="1" x14ac:dyDescent="0.25">
      <c r="A149" s="40">
        <v>46138</v>
      </c>
      <c r="B149" s="5"/>
      <c r="C149" s="5"/>
      <c r="D149" s="5"/>
      <c r="E149" s="5" t="s">
        <v>392</v>
      </c>
      <c r="F149" s="5"/>
      <c r="G149" s="5"/>
      <c r="H149" s="41">
        <v>1334500</v>
      </c>
      <c r="I149" s="41">
        <v>1334500</v>
      </c>
      <c r="J149" s="40">
        <v>46138</v>
      </c>
      <c r="K149" s="5"/>
      <c r="L149" s="5"/>
      <c r="M149" s="5" t="s">
        <v>393</v>
      </c>
      <c r="N149" s="5"/>
      <c r="O149" s="5"/>
      <c r="P149" s="5"/>
      <c r="Q149" s="5"/>
      <c r="R149" s="5"/>
      <c r="S149" s="5"/>
      <c r="T149" s="42"/>
    </row>
    <row r="150" spans="1:20" ht="27.75" customHeight="1" x14ac:dyDescent="0.25">
      <c r="A150" s="40">
        <v>46139</v>
      </c>
      <c r="B150" s="5"/>
      <c r="C150" s="5"/>
      <c r="D150" s="5"/>
      <c r="E150" s="5" t="s">
        <v>392</v>
      </c>
      <c r="F150" s="5"/>
      <c r="G150" s="5"/>
      <c r="H150" s="41">
        <v>2669000</v>
      </c>
      <c r="I150" s="41">
        <v>2669000</v>
      </c>
      <c r="J150" s="40">
        <v>46139</v>
      </c>
      <c r="K150" s="5"/>
      <c r="L150" s="5"/>
      <c r="M150" s="5" t="s">
        <v>394</v>
      </c>
      <c r="N150" s="5"/>
      <c r="O150" s="5"/>
      <c r="P150" s="5"/>
      <c r="Q150" s="5"/>
      <c r="R150" s="5"/>
      <c r="S150" s="5"/>
      <c r="T150" s="42"/>
    </row>
    <row r="151" spans="1:20" ht="27.75" customHeight="1" x14ac:dyDescent="0.25">
      <c r="A151" s="40">
        <v>46140</v>
      </c>
      <c r="B151" s="5"/>
      <c r="C151" s="5"/>
      <c r="D151" s="5"/>
      <c r="E151" s="5" t="s">
        <v>295</v>
      </c>
      <c r="F151" s="5"/>
      <c r="G151" s="5"/>
      <c r="H151" s="41">
        <v>2669000</v>
      </c>
      <c r="I151" s="41">
        <v>2669000</v>
      </c>
      <c r="J151" s="40">
        <v>46140</v>
      </c>
      <c r="K151" s="5"/>
      <c r="L151" s="5"/>
      <c r="M151" s="5" t="s">
        <v>395</v>
      </c>
      <c r="N151" s="5"/>
      <c r="O151" s="5"/>
      <c r="P151" s="5"/>
      <c r="Q151" s="5"/>
      <c r="R151" s="5"/>
      <c r="S151" s="5"/>
      <c r="T151" s="42"/>
    </row>
    <row r="152" spans="1:20" ht="27.75" customHeight="1" x14ac:dyDescent="0.25">
      <c r="A152" s="40">
        <v>46134</v>
      </c>
      <c r="B152" s="5"/>
      <c r="C152" s="5"/>
      <c r="D152" s="5"/>
      <c r="E152" s="5" t="s">
        <v>297</v>
      </c>
      <c r="F152" s="5"/>
      <c r="G152" s="5"/>
      <c r="H152" s="41">
        <v>100000</v>
      </c>
      <c r="I152" s="41">
        <v>100000</v>
      </c>
      <c r="J152" s="40">
        <v>46134</v>
      </c>
      <c r="K152" s="5"/>
      <c r="L152" s="5"/>
      <c r="M152" s="5" t="s">
        <v>373</v>
      </c>
      <c r="N152" s="5"/>
      <c r="O152" s="5"/>
      <c r="P152" s="5"/>
      <c r="Q152" s="5"/>
      <c r="R152" s="5"/>
      <c r="S152" s="5"/>
      <c r="T152" s="42"/>
    </row>
    <row r="153" spans="1:20" ht="27.75" customHeight="1" x14ac:dyDescent="0.25">
      <c r="A153" s="40">
        <v>46141</v>
      </c>
      <c r="B153" s="5"/>
      <c r="C153" s="5"/>
      <c r="D153" s="5"/>
      <c r="E153" s="5" t="s">
        <v>295</v>
      </c>
      <c r="F153" s="5"/>
      <c r="G153" s="5"/>
      <c r="H153" s="41">
        <v>2669000</v>
      </c>
      <c r="I153" s="41">
        <v>2669000</v>
      </c>
      <c r="J153" s="40">
        <v>46141</v>
      </c>
      <c r="K153" s="5"/>
      <c r="L153" s="5"/>
      <c r="M153" s="5" t="s">
        <v>396</v>
      </c>
      <c r="N153" s="5"/>
      <c r="O153" s="5"/>
      <c r="P153" s="5"/>
      <c r="Q153" s="5"/>
      <c r="R153" s="5"/>
      <c r="S153" s="5"/>
      <c r="T153" s="42"/>
    </row>
    <row r="154" spans="1:20" ht="27.75" customHeight="1" x14ac:dyDescent="0.25">
      <c r="A154" s="40">
        <v>46141</v>
      </c>
      <c r="B154" s="5"/>
      <c r="C154" s="5"/>
      <c r="D154" s="5"/>
      <c r="E154" s="5" t="s">
        <v>297</v>
      </c>
      <c r="F154" s="5"/>
      <c r="G154" s="5"/>
      <c r="H154" s="41">
        <v>100000</v>
      </c>
      <c r="I154" s="41">
        <v>100000</v>
      </c>
      <c r="J154" s="40">
        <v>46141</v>
      </c>
      <c r="K154" s="5"/>
      <c r="L154" s="5"/>
      <c r="M154" s="5" t="s">
        <v>396</v>
      </c>
      <c r="N154" s="5"/>
      <c r="O154" s="5"/>
      <c r="P154" s="5"/>
      <c r="Q154" s="5"/>
      <c r="R154" s="5"/>
      <c r="S154" s="5"/>
      <c r="T154" s="42"/>
    </row>
    <row r="155" spans="1:20" ht="27.75" customHeight="1" x14ac:dyDescent="0.25">
      <c r="A155" s="40">
        <v>46144</v>
      </c>
      <c r="B155" s="5"/>
      <c r="C155" s="5"/>
      <c r="D155" s="5"/>
      <c r="E155" s="5" t="s">
        <v>295</v>
      </c>
      <c r="F155" s="5"/>
      <c r="G155" s="5"/>
      <c r="H155" s="41">
        <v>3380000</v>
      </c>
      <c r="I155" s="41">
        <v>3380000</v>
      </c>
      <c r="J155" s="40">
        <v>46144</v>
      </c>
      <c r="K155" s="5"/>
      <c r="L155" s="5"/>
      <c r="M155" s="5" t="s">
        <v>397</v>
      </c>
      <c r="N155" s="5"/>
      <c r="O155" s="5"/>
      <c r="P155" s="5"/>
      <c r="Q155" s="5"/>
      <c r="R155" s="5"/>
      <c r="S155" s="5"/>
      <c r="T155" s="42"/>
    </row>
    <row r="156" spans="1:20" ht="27.75" customHeight="1" x14ac:dyDescent="0.25">
      <c r="A156" s="40">
        <v>46144</v>
      </c>
      <c r="B156" s="5"/>
      <c r="C156" s="5"/>
      <c r="D156" s="5"/>
      <c r="E156" s="5" t="s">
        <v>297</v>
      </c>
      <c r="F156" s="5"/>
      <c r="G156" s="5"/>
      <c r="H156" s="41">
        <v>100000</v>
      </c>
      <c r="I156" s="41">
        <v>100000</v>
      </c>
      <c r="J156" s="40">
        <v>46144</v>
      </c>
      <c r="K156" s="5"/>
      <c r="L156" s="5"/>
      <c r="M156" s="5" t="s">
        <v>397</v>
      </c>
      <c r="N156" s="5"/>
      <c r="O156" s="5"/>
      <c r="P156" s="5"/>
      <c r="Q156" s="5"/>
      <c r="R156" s="5"/>
      <c r="S156" s="5"/>
      <c r="T156" s="42"/>
    </row>
    <row r="157" spans="1:20" ht="27.75" customHeight="1" x14ac:dyDescent="0.25">
      <c r="A157" s="40">
        <v>46144</v>
      </c>
      <c r="B157" s="5"/>
      <c r="C157" s="5"/>
      <c r="D157" s="5"/>
      <c r="E157" s="5" t="s">
        <v>392</v>
      </c>
      <c r="F157" s="5"/>
      <c r="G157" s="5"/>
      <c r="H157" s="41">
        <v>2817000</v>
      </c>
      <c r="I157" s="41">
        <v>2817000</v>
      </c>
      <c r="J157" s="40">
        <v>46144</v>
      </c>
      <c r="K157" s="5"/>
      <c r="L157" s="5"/>
      <c r="M157" s="5" t="s">
        <v>397</v>
      </c>
      <c r="N157" s="5"/>
      <c r="O157" s="5"/>
      <c r="P157" s="5"/>
      <c r="Q157" s="5"/>
      <c r="R157" s="5"/>
      <c r="S157" s="5"/>
      <c r="T157" s="42"/>
    </row>
    <row r="158" spans="1:20" ht="27.75" customHeight="1" x14ac:dyDescent="0.25">
      <c r="A158" s="40">
        <v>46144</v>
      </c>
      <c r="B158" s="5"/>
      <c r="C158" s="5"/>
      <c r="D158" s="5"/>
      <c r="E158" s="5" t="s">
        <v>387</v>
      </c>
      <c r="F158" s="5"/>
      <c r="G158" s="5"/>
      <c r="H158" s="41">
        <v>1408500</v>
      </c>
      <c r="I158" s="41">
        <v>1408500</v>
      </c>
      <c r="J158" s="40">
        <v>46144</v>
      </c>
      <c r="K158" s="5"/>
      <c r="L158" s="5"/>
      <c r="M158" s="5" t="s">
        <v>397</v>
      </c>
      <c r="N158" s="5"/>
      <c r="O158" s="5"/>
      <c r="P158" s="5"/>
      <c r="Q158" s="5"/>
      <c r="R158" s="5"/>
      <c r="S158" s="5"/>
      <c r="T158" s="42"/>
    </row>
    <row r="159" spans="1:20" ht="27.75" customHeight="1" x14ac:dyDescent="0.25">
      <c r="A159" s="40">
        <v>46134</v>
      </c>
      <c r="B159" s="5"/>
      <c r="C159" s="5"/>
      <c r="D159" s="5"/>
      <c r="E159" s="5" t="s">
        <v>398</v>
      </c>
      <c r="F159" s="5"/>
      <c r="G159" s="5"/>
      <c r="H159" s="41">
        <v>1100000</v>
      </c>
      <c r="I159" s="41">
        <v>1100000</v>
      </c>
      <c r="J159" s="40">
        <v>46134</v>
      </c>
      <c r="K159" s="5"/>
      <c r="L159" s="5"/>
      <c r="M159" s="5" t="s">
        <v>373</v>
      </c>
      <c r="N159" s="5"/>
      <c r="O159" s="5"/>
      <c r="P159" s="5"/>
      <c r="Q159" s="5"/>
      <c r="R159" s="5"/>
      <c r="S159" s="5"/>
      <c r="T159" s="42"/>
    </row>
    <row r="160" spans="1:20" ht="27.75" customHeight="1" x14ac:dyDescent="0.25">
      <c r="A160" s="40">
        <v>46134</v>
      </c>
      <c r="B160" s="5"/>
      <c r="C160" s="5"/>
      <c r="D160" s="5"/>
      <c r="E160" s="5" t="s">
        <v>399</v>
      </c>
      <c r="F160" s="5"/>
      <c r="G160" s="5"/>
      <c r="H160" s="41">
        <v>550000</v>
      </c>
      <c r="I160" s="41">
        <v>550000</v>
      </c>
      <c r="J160" s="40">
        <v>46134</v>
      </c>
      <c r="K160" s="5"/>
      <c r="L160" s="5"/>
      <c r="M160" s="5" t="s">
        <v>373</v>
      </c>
      <c r="N160" s="5"/>
      <c r="O160" s="5"/>
      <c r="P160" s="5"/>
      <c r="Q160" s="5"/>
      <c r="R160" s="5"/>
      <c r="S160" s="5"/>
      <c r="T160" s="42"/>
    </row>
    <row r="161" spans="1:20" ht="27.75" customHeight="1" x14ac:dyDescent="0.25">
      <c r="A161" s="40">
        <v>46135</v>
      </c>
      <c r="B161" s="5"/>
      <c r="C161" s="5"/>
      <c r="D161" s="5"/>
      <c r="E161" s="5" t="s">
        <v>400</v>
      </c>
      <c r="F161" s="5"/>
      <c r="G161" s="5"/>
      <c r="H161" s="41">
        <v>1000000</v>
      </c>
      <c r="I161" s="41">
        <v>1000000</v>
      </c>
      <c r="J161" s="40">
        <v>46135</v>
      </c>
      <c r="K161" s="5"/>
      <c r="L161" s="5"/>
      <c r="M161" s="5" t="s">
        <v>388</v>
      </c>
      <c r="N161" s="5"/>
      <c r="O161" s="5"/>
      <c r="P161" s="5"/>
      <c r="Q161" s="5"/>
      <c r="R161" s="5"/>
      <c r="S161" s="5"/>
      <c r="T161" s="42"/>
    </row>
    <row r="162" spans="1:20" ht="27.75" customHeight="1" x14ac:dyDescent="0.25">
      <c r="A162" s="40">
        <v>46135</v>
      </c>
      <c r="B162" s="5"/>
      <c r="C162" s="5"/>
      <c r="D162" s="5"/>
      <c r="E162" s="5" t="s">
        <v>401</v>
      </c>
      <c r="F162" s="5"/>
      <c r="G162" s="5"/>
      <c r="H162" s="41">
        <v>317000</v>
      </c>
      <c r="I162" s="41">
        <v>317000</v>
      </c>
      <c r="J162" s="40">
        <v>46135</v>
      </c>
      <c r="K162" s="5"/>
      <c r="L162" s="5"/>
      <c r="M162" s="5" t="s">
        <v>388</v>
      </c>
      <c r="N162" s="5"/>
      <c r="O162" s="5"/>
      <c r="P162" s="5"/>
      <c r="Q162" s="5"/>
      <c r="R162" s="5"/>
      <c r="S162" s="5"/>
      <c r="T162" s="42"/>
    </row>
    <row r="163" spans="1:20" ht="27.75" customHeight="1" x14ac:dyDescent="0.25">
      <c r="A163" s="40">
        <v>46136</v>
      </c>
      <c r="B163" s="5"/>
      <c r="C163" s="5"/>
      <c r="D163" s="5"/>
      <c r="E163" s="5" t="s">
        <v>402</v>
      </c>
      <c r="F163" s="5"/>
      <c r="G163" s="5"/>
      <c r="H163" s="41">
        <v>540000</v>
      </c>
      <c r="I163" s="41">
        <v>540000</v>
      </c>
      <c r="J163" s="40">
        <v>46136</v>
      </c>
      <c r="K163" s="5"/>
      <c r="L163" s="5"/>
      <c r="M163" s="5" t="s">
        <v>390</v>
      </c>
      <c r="N163" s="5"/>
      <c r="O163" s="5"/>
      <c r="P163" s="5"/>
      <c r="Q163" s="5"/>
      <c r="R163" s="5"/>
      <c r="S163" s="5"/>
      <c r="T163" s="42"/>
    </row>
    <row r="164" spans="1:20" ht="27.75" customHeight="1" x14ac:dyDescent="0.25">
      <c r="A164" s="40">
        <v>46137</v>
      </c>
      <c r="B164" s="5"/>
      <c r="C164" s="5"/>
      <c r="D164" s="5"/>
      <c r="E164" s="5" t="s">
        <v>403</v>
      </c>
      <c r="F164" s="5"/>
      <c r="G164" s="5"/>
      <c r="H164" s="41">
        <v>152000</v>
      </c>
      <c r="I164" s="41">
        <v>152000</v>
      </c>
      <c r="J164" s="40">
        <v>46137</v>
      </c>
      <c r="K164" s="5"/>
      <c r="L164" s="5"/>
      <c r="M164" s="5" t="s">
        <v>391</v>
      </c>
      <c r="N164" s="5"/>
      <c r="O164" s="5"/>
      <c r="P164" s="5"/>
      <c r="Q164" s="5"/>
      <c r="R164" s="5"/>
      <c r="S164" s="5"/>
      <c r="T164" s="42"/>
    </row>
    <row r="165" spans="1:20" ht="27.75" customHeight="1" x14ac:dyDescent="0.25">
      <c r="A165" s="40">
        <v>46138</v>
      </c>
      <c r="B165" s="5"/>
      <c r="C165" s="5"/>
      <c r="D165" s="5"/>
      <c r="E165" s="5" t="s">
        <v>404</v>
      </c>
      <c r="F165" s="5"/>
      <c r="G165" s="5"/>
      <c r="H165" s="41">
        <v>3000000</v>
      </c>
      <c r="I165" s="41">
        <v>3000000</v>
      </c>
      <c r="J165" s="40">
        <v>46138</v>
      </c>
      <c r="K165" s="5"/>
      <c r="L165" s="5"/>
      <c r="M165" s="5" t="s">
        <v>393</v>
      </c>
      <c r="N165" s="5"/>
      <c r="O165" s="5"/>
      <c r="P165" s="5"/>
      <c r="Q165" s="5"/>
      <c r="R165" s="5"/>
      <c r="S165" s="5"/>
      <c r="T165" s="42"/>
    </row>
    <row r="166" spans="1:20" ht="27.75" customHeight="1" x14ac:dyDescent="0.25">
      <c r="A166" s="40">
        <v>46138</v>
      </c>
      <c r="B166" s="5"/>
      <c r="C166" s="5"/>
      <c r="D166" s="5"/>
      <c r="E166" s="5" t="s">
        <v>405</v>
      </c>
      <c r="F166" s="5"/>
      <c r="G166" s="5"/>
      <c r="H166" s="41">
        <v>622673</v>
      </c>
      <c r="I166" s="41">
        <v>622673</v>
      </c>
      <c r="J166" s="40">
        <v>46138</v>
      </c>
      <c r="K166" s="5"/>
      <c r="L166" s="5"/>
      <c r="M166" s="5" t="s">
        <v>393</v>
      </c>
      <c r="N166" s="5"/>
      <c r="O166" s="5"/>
      <c r="P166" s="5"/>
      <c r="Q166" s="5"/>
      <c r="R166" s="5"/>
      <c r="S166" s="5"/>
      <c r="T166" s="42"/>
    </row>
    <row r="167" spans="1:20" ht="27.75" customHeight="1" x14ac:dyDescent="0.25">
      <c r="A167" s="40">
        <v>46140</v>
      </c>
      <c r="B167" s="5"/>
      <c r="C167" s="5"/>
      <c r="D167" s="5"/>
      <c r="E167" s="5" t="s">
        <v>406</v>
      </c>
      <c r="F167" s="5"/>
      <c r="G167" s="5"/>
      <c r="H167" s="41">
        <v>8100000</v>
      </c>
      <c r="I167" s="41">
        <v>8100000</v>
      </c>
      <c r="J167" s="40">
        <v>46140</v>
      </c>
      <c r="K167" s="5"/>
      <c r="L167" s="5"/>
      <c r="M167" s="5" t="s">
        <v>395</v>
      </c>
      <c r="N167" s="5"/>
      <c r="O167" s="5"/>
      <c r="P167" s="5"/>
      <c r="Q167" s="5"/>
      <c r="R167" s="5"/>
      <c r="S167" s="5"/>
      <c r="T167" s="42"/>
    </row>
    <row r="168" spans="1:20" ht="27.75" customHeight="1" x14ac:dyDescent="0.25">
      <c r="A168" s="40">
        <v>46143</v>
      </c>
      <c r="B168" s="5"/>
      <c r="C168" s="5"/>
      <c r="D168" s="5"/>
      <c r="E168" s="5" t="s">
        <v>407</v>
      </c>
      <c r="F168" s="5"/>
      <c r="G168" s="5"/>
      <c r="H168" s="41">
        <v>3000000</v>
      </c>
      <c r="I168" s="41">
        <v>3000000</v>
      </c>
      <c r="J168" s="40">
        <v>46143</v>
      </c>
      <c r="K168" s="5"/>
      <c r="L168" s="5"/>
      <c r="M168" s="5" t="s">
        <v>408</v>
      </c>
      <c r="N168" s="5"/>
      <c r="O168" s="5"/>
      <c r="P168" s="5"/>
      <c r="Q168" s="5"/>
      <c r="R168" s="5"/>
      <c r="S168" s="5"/>
      <c r="T168" s="42"/>
    </row>
    <row r="169" spans="1:20" ht="27.75" customHeight="1" x14ac:dyDescent="0.25">
      <c r="A169" s="40">
        <v>46143</v>
      </c>
      <c r="B169" s="5"/>
      <c r="C169" s="5"/>
      <c r="D169" s="5"/>
      <c r="E169" s="5" t="s">
        <v>409</v>
      </c>
      <c r="F169" s="5"/>
      <c r="G169" s="5"/>
      <c r="H169" s="41">
        <v>1280000</v>
      </c>
      <c r="I169" s="41">
        <v>1280000</v>
      </c>
      <c r="J169" s="40">
        <v>46143</v>
      </c>
      <c r="K169" s="5"/>
      <c r="L169" s="5"/>
      <c r="M169" s="5" t="s">
        <v>408</v>
      </c>
      <c r="N169" s="5"/>
      <c r="O169" s="5"/>
      <c r="P169" s="5"/>
      <c r="Q169" s="5"/>
      <c r="R169" s="5"/>
      <c r="S169" s="5"/>
      <c r="T169" s="42"/>
    </row>
    <row r="170" spans="1:20" ht="27.75" customHeight="1" x14ac:dyDescent="0.25">
      <c r="A170" s="40">
        <v>46143</v>
      </c>
      <c r="B170" s="5"/>
      <c r="C170" s="5"/>
      <c r="D170" s="5"/>
      <c r="E170" s="5" t="s">
        <v>410</v>
      </c>
      <c r="F170" s="5"/>
      <c r="G170" s="5"/>
      <c r="H170" s="41">
        <v>500000</v>
      </c>
      <c r="I170" s="41">
        <v>500000</v>
      </c>
      <c r="J170" s="40">
        <v>46143</v>
      </c>
      <c r="K170" s="5"/>
      <c r="L170" s="5"/>
      <c r="M170" s="5" t="s">
        <v>408</v>
      </c>
      <c r="N170" s="5"/>
      <c r="O170" s="5"/>
      <c r="P170" s="5"/>
      <c r="Q170" s="5"/>
      <c r="R170" s="5"/>
      <c r="S170" s="5"/>
      <c r="T170" s="42"/>
    </row>
    <row r="171" spans="1:20" ht="27.75" customHeight="1" x14ac:dyDescent="0.25">
      <c r="A171" s="40">
        <v>46143</v>
      </c>
      <c r="B171" s="5"/>
      <c r="C171" s="5"/>
      <c r="D171" s="5"/>
      <c r="E171" s="5" t="s">
        <v>411</v>
      </c>
      <c r="F171" s="5"/>
      <c r="G171" s="5"/>
      <c r="H171" s="41">
        <v>760000</v>
      </c>
      <c r="I171" s="41">
        <v>760000</v>
      </c>
      <c r="J171" s="40">
        <v>46143</v>
      </c>
      <c r="K171" s="5"/>
      <c r="L171" s="5"/>
      <c r="M171" s="5" t="s">
        <v>408</v>
      </c>
      <c r="N171" s="5"/>
      <c r="O171" s="5"/>
      <c r="P171" s="5"/>
      <c r="Q171" s="5"/>
      <c r="R171" s="5"/>
      <c r="S171" s="5"/>
      <c r="T171" s="42"/>
    </row>
    <row r="172" spans="1:20" ht="27.75" customHeight="1" x14ac:dyDescent="0.25">
      <c r="A172" s="40">
        <v>46143</v>
      </c>
      <c r="B172" s="5"/>
      <c r="C172" s="5"/>
      <c r="D172" s="5"/>
      <c r="E172" s="5" t="s">
        <v>412</v>
      </c>
      <c r="F172" s="5"/>
      <c r="G172" s="5"/>
      <c r="H172" s="41">
        <v>420000</v>
      </c>
      <c r="I172" s="41">
        <v>420000</v>
      </c>
      <c r="J172" s="40">
        <v>46143</v>
      </c>
      <c r="K172" s="5"/>
      <c r="L172" s="5"/>
      <c r="M172" s="5" t="s">
        <v>408</v>
      </c>
      <c r="N172" s="5"/>
      <c r="O172" s="5"/>
      <c r="P172" s="5"/>
      <c r="Q172" s="5"/>
      <c r="R172" s="5"/>
      <c r="S172" s="5"/>
      <c r="T172" s="42"/>
    </row>
    <row r="173" spans="1:20" ht="27.75" customHeight="1" x14ac:dyDescent="0.25">
      <c r="A173" s="40">
        <v>46143</v>
      </c>
      <c r="B173" s="5"/>
      <c r="C173" s="5"/>
      <c r="D173" s="5"/>
      <c r="E173" s="5" t="s">
        <v>413</v>
      </c>
      <c r="F173" s="5"/>
      <c r="G173" s="5"/>
      <c r="H173" s="41">
        <v>1000000</v>
      </c>
      <c r="I173" s="41">
        <v>1000000</v>
      </c>
      <c r="J173" s="40">
        <v>46143</v>
      </c>
      <c r="K173" s="5"/>
      <c r="L173" s="5"/>
      <c r="M173" s="5" t="s">
        <v>408</v>
      </c>
      <c r="N173" s="5"/>
      <c r="O173" s="5"/>
      <c r="P173" s="5"/>
      <c r="Q173" s="5"/>
      <c r="R173" s="5"/>
      <c r="S173" s="5"/>
      <c r="T173" s="42"/>
    </row>
    <row r="174" spans="1:20" ht="27.75" customHeight="1" x14ac:dyDescent="0.25">
      <c r="A174" s="40">
        <v>46144</v>
      </c>
      <c r="B174" s="5"/>
      <c r="C174" s="5"/>
      <c r="D174" s="5"/>
      <c r="E174" s="5" t="s">
        <v>414</v>
      </c>
      <c r="F174" s="5"/>
      <c r="G174" s="5"/>
      <c r="H174" s="41">
        <v>660000</v>
      </c>
      <c r="I174" s="41">
        <v>660000</v>
      </c>
      <c r="J174" s="40">
        <v>46144</v>
      </c>
      <c r="K174" s="5"/>
      <c r="L174" s="5"/>
      <c r="M174" s="5" t="s">
        <v>397</v>
      </c>
      <c r="N174" s="5"/>
      <c r="O174" s="5"/>
      <c r="P174" s="5"/>
      <c r="Q174" s="5"/>
      <c r="R174" s="5"/>
      <c r="S174" s="5"/>
      <c r="T174" s="42"/>
    </row>
    <row r="175" spans="1:20" ht="27.75" customHeight="1" x14ac:dyDescent="0.25">
      <c r="A175" s="40">
        <v>46146</v>
      </c>
      <c r="B175" s="5"/>
      <c r="C175" s="5"/>
      <c r="D175" s="5"/>
      <c r="E175" s="5" t="s">
        <v>415</v>
      </c>
      <c r="F175" s="5"/>
      <c r="G175" s="5"/>
      <c r="H175" s="41">
        <v>317000</v>
      </c>
      <c r="I175" s="41">
        <v>317000</v>
      </c>
      <c r="J175" s="40">
        <v>46146</v>
      </c>
      <c r="K175" s="5"/>
      <c r="L175" s="5"/>
      <c r="M175" s="5" t="s">
        <v>416</v>
      </c>
      <c r="N175" s="5"/>
      <c r="O175" s="5"/>
      <c r="P175" s="5"/>
      <c r="Q175" s="5"/>
      <c r="R175" s="5"/>
      <c r="S175" s="5"/>
      <c r="T175" s="42"/>
    </row>
    <row r="176" spans="1:20" ht="27.75" customHeight="1" x14ac:dyDescent="0.25">
      <c r="A176" s="40">
        <v>46146</v>
      </c>
      <c r="B176" s="5"/>
      <c r="C176" s="5"/>
      <c r="D176" s="5"/>
      <c r="E176" s="5" t="s">
        <v>417</v>
      </c>
      <c r="F176" s="5"/>
      <c r="G176" s="5"/>
      <c r="H176" s="41">
        <v>300000</v>
      </c>
      <c r="I176" s="41">
        <v>300000</v>
      </c>
      <c r="J176" s="40">
        <v>46146</v>
      </c>
      <c r="K176" s="5"/>
      <c r="L176" s="5" t="s">
        <v>418</v>
      </c>
      <c r="M176" s="5" t="s">
        <v>416</v>
      </c>
      <c r="N176" s="5"/>
      <c r="O176" s="5"/>
      <c r="P176" s="5"/>
      <c r="Q176" s="5"/>
      <c r="R176" s="5"/>
      <c r="S176" s="5"/>
      <c r="T176" s="42"/>
    </row>
    <row r="177" spans="1:20" ht="27.75" customHeight="1" x14ac:dyDescent="0.25">
      <c r="A177" s="43"/>
      <c r="B177" s="5"/>
      <c r="C177" s="5"/>
      <c r="D177" s="5"/>
      <c r="E177" s="5"/>
      <c r="F177" s="5"/>
      <c r="G177" s="5"/>
      <c r="H177" s="41">
        <v>0</v>
      </c>
      <c r="I177" s="41">
        <v>0</v>
      </c>
      <c r="J177" s="43"/>
      <c r="K177" s="5"/>
      <c r="L177" s="5"/>
      <c r="M177" s="5" t="s">
        <v>419</v>
      </c>
      <c r="N177" s="5"/>
      <c r="O177" s="5"/>
      <c r="P177" s="5"/>
      <c r="Q177" s="5"/>
      <c r="R177" s="5"/>
      <c r="S177" s="5"/>
      <c r="T177" s="42"/>
    </row>
    <row r="178" spans="1:20" ht="27.75" customHeight="1" x14ac:dyDescent="0.25">
      <c r="A178" s="43"/>
      <c r="B178" s="5"/>
      <c r="C178" s="5"/>
      <c r="D178" s="5"/>
      <c r="E178" s="5"/>
      <c r="F178" s="5"/>
      <c r="G178" s="5"/>
      <c r="H178" s="41">
        <v>0</v>
      </c>
      <c r="I178" s="41">
        <v>0</v>
      </c>
      <c r="J178" s="43"/>
      <c r="K178" s="5"/>
      <c r="L178" s="5"/>
      <c r="M178" s="5" t="s">
        <v>419</v>
      </c>
      <c r="N178" s="5"/>
      <c r="O178" s="5"/>
      <c r="P178" s="5"/>
      <c r="Q178" s="5"/>
      <c r="R178" s="5"/>
      <c r="S178" s="5"/>
      <c r="T178" s="42"/>
    </row>
  </sheetData>
  <mergeCells count="7">
    <mergeCell ref="A1:T1"/>
    <mergeCell ref="A2:B2"/>
    <mergeCell ref="C2:D2"/>
    <mergeCell ref="E2:F2"/>
    <mergeCell ref="G2:H2"/>
    <mergeCell ref="I2:J2"/>
    <mergeCell ref="K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4"/>
  <sheetViews>
    <sheetView showGridLines="0" topLeftCell="A4" zoomScaleNormal="100" workbookViewId="0">
      <selection activeCell="A18" sqref="A18:C19"/>
    </sheetView>
  </sheetViews>
  <sheetFormatPr defaultColWidth="8.5703125" defaultRowHeight="15" x14ac:dyDescent="0.25"/>
  <cols>
    <col min="1" max="1" width="35" customWidth="1"/>
    <col min="2" max="2" width="50" customWidth="1"/>
    <col min="3" max="3" width="15" customWidth="1"/>
    <col min="4" max="4" width="40" customWidth="1"/>
    <col min="5" max="8" width="18" customWidth="1"/>
  </cols>
  <sheetData>
    <row r="1" spans="1:8" ht="34.5" customHeight="1" x14ac:dyDescent="0.25">
      <c r="A1" s="86" t="s">
        <v>420</v>
      </c>
      <c r="B1" s="86"/>
      <c r="C1" s="86"/>
      <c r="D1" s="86"/>
      <c r="E1" s="86"/>
      <c r="F1" s="86"/>
      <c r="G1" s="86"/>
      <c r="H1" s="86"/>
    </row>
    <row r="2" spans="1:8" ht="21.75" customHeight="1" x14ac:dyDescent="0.25">
      <c r="A2" s="104" t="s">
        <v>421</v>
      </c>
      <c r="B2" s="104"/>
      <c r="C2" s="104"/>
      <c r="D2" s="104"/>
      <c r="E2" s="104"/>
      <c r="F2" s="104"/>
      <c r="G2" s="104"/>
      <c r="H2" s="104"/>
    </row>
    <row r="3" spans="1:8" ht="15" customHeight="1" x14ac:dyDescent="0.25">
      <c r="D3" s="105" t="s">
        <v>422</v>
      </c>
      <c r="E3" s="105"/>
      <c r="F3" s="105"/>
      <c r="G3" s="105"/>
      <c r="H3" s="105"/>
    </row>
    <row r="4" spans="1:8" ht="34.5" customHeight="1" x14ac:dyDescent="0.25">
      <c r="A4" s="44" t="s">
        <v>423</v>
      </c>
      <c r="B4" s="106">
        <f ca="1">TODAY()</f>
        <v>46158</v>
      </c>
      <c r="C4" s="106"/>
      <c r="D4" s="107" t="s">
        <v>424</v>
      </c>
      <c r="E4" s="107"/>
      <c r="F4" s="107"/>
      <c r="G4" s="107"/>
      <c r="H4" s="107"/>
    </row>
    <row r="5" spans="1:8" ht="34.5" customHeight="1" x14ac:dyDescent="0.25">
      <c r="A5" s="44" t="s">
        <v>218</v>
      </c>
      <c r="B5" s="97" t="s">
        <v>236</v>
      </c>
      <c r="C5" s="97"/>
      <c r="D5" s="94" t="s">
        <v>425</v>
      </c>
      <c r="E5" s="94"/>
      <c r="F5" s="94"/>
      <c r="G5" s="94"/>
      <c r="H5" s="94"/>
    </row>
    <row r="6" spans="1:8" ht="34.5" customHeight="1" x14ac:dyDescent="0.25">
      <c r="A6" s="44" t="s">
        <v>426</v>
      </c>
      <c r="B6" s="97"/>
      <c r="C6" s="97"/>
      <c r="D6" s="94"/>
      <c r="E6" s="94"/>
      <c r="F6" s="94"/>
      <c r="G6" s="94"/>
      <c r="H6" s="94"/>
    </row>
    <row r="7" spans="1:8" ht="34.5" customHeight="1" x14ac:dyDescent="0.25">
      <c r="A7" s="44" t="s">
        <v>222</v>
      </c>
      <c r="B7" s="97" t="s">
        <v>897</v>
      </c>
      <c r="C7" s="97"/>
      <c r="D7" s="103" t="s">
        <v>427</v>
      </c>
      <c r="E7" s="103"/>
      <c r="F7" s="103"/>
      <c r="G7" s="103"/>
      <c r="H7" s="103"/>
    </row>
    <row r="8" spans="1:8" ht="34.5" customHeight="1" x14ac:dyDescent="0.25">
      <c r="A8" s="44" t="s">
        <v>428</v>
      </c>
      <c r="B8" s="97" t="s">
        <v>238</v>
      </c>
      <c r="C8" s="97"/>
      <c r="D8" s="94" t="s">
        <v>429</v>
      </c>
      <c r="E8" s="94"/>
      <c r="F8" s="94"/>
      <c r="G8" s="94"/>
      <c r="H8" s="94"/>
    </row>
    <row r="9" spans="1:8" ht="34.5" customHeight="1" x14ac:dyDescent="0.25">
      <c r="A9" s="44" t="s">
        <v>430</v>
      </c>
      <c r="B9" s="101">
        <v>0</v>
      </c>
      <c r="C9" s="101"/>
      <c r="D9" s="94"/>
      <c r="E9" s="94"/>
      <c r="F9" s="94"/>
      <c r="G9" s="94"/>
      <c r="H9" s="94"/>
    </row>
    <row r="10" spans="1:8" ht="34.5" customHeight="1" x14ac:dyDescent="0.25">
      <c r="A10" s="44" t="s">
        <v>220</v>
      </c>
      <c r="B10" s="97"/>
      <c r="C10" s="97"/>
      <c r="D10" s="102" t="s">
        <v>431</v>
      </c>
      <c r="E10" s="102"/>
      <c r="F10" s="102"/>
      <c r="G10" s="102"/>
      <c r="H10" s="102"/>
    </row>
    <row r="11" spans="1:8" ht="34.5" customHeight="1" x14ac:dyDescent="0.25">
      <c r="A11" s="44" t="s">
        <v>432</v>
      </c>
      <c r="B11" s="99" t="s">
        <v>433</v>
      </c>
      <c r="C11" s="99"/>
      <c r="D11" s="94" t="s">
        <v>434</v>
      </c>
      <c r="E11" s="94"/>
      <c r="F11" s="94"/>
      <c r="G11" s="94"/>
      <c r="H11" s="94"/>
    </row>
    <row r="12" spans="1:8" ht="34.5" customHeight="1" x14ac:dyDescent="0.25">
      <c r="A12" s="44" t="s">
        <v>435</v>
      </c>
      <c r="B12" s="97"/>
      <c r="C12" s="97"/>
      <c r="D12" s="94"/>
      <c r="E12" s="94"/>
      <c r="F12" s="94"/>
      <c r="G12" s="94"/>
      <c r="H12" s="94"/>
    </row>
    <row r="13" spans="1:8" ht="34.5" customHeight="1" x14ac:dyDescent="0.25">
      <c r="A13" s="44" t="s">
        <v>232</v>
      </c>
      <c r="B13" s="97" t="s">
        <v>249</v>
      </c>
      <c r="C13" s="97"/>
      <c r="D13" s="100" t="s">
        <v>436</v>
      </c>
      <c r="E13" s="100"/>
      <c r="F13" s="100"/>
      <c r="G13" s="100"/>
      <c r="H13" s="100"/>
    </row>
    <row r="14" spans="1:8" ht="34.5" customHeight="1" x14ac:dyDescent="0.25">
      <c r="A14" s="44" t="s">
        <v>233</v>
      </c>
      <c r="B14" s="97"/>
      <c r="C14" s="97"/>
      <c r="D14" s="94" t="s">
        <v>437</v>
      </c>
      <c r="E14" s="94"/>
      <c r="F14" s="94"/>
      <c r="G14" s="94"/>
      <c r="H14" s="94"/>
    </row>
    <row r="15" spans="1:8" ht="34.5" customHeight="1" x14ac:dyDescent="0.25">
      <c r="A15" s="44" t="s">
        <v>438</v>
      </c>
      <c r="B15" s="97"/>
      <c r="C15" s="97"/>
      <c r="D15" s="94"/>
      <c r="E15" s="94"/>
      <c r="F15" s="94"/>
      <c r="G15" s="94"/>
      <c r="H15" s="94"/>
    </row>
    <row r="16" spans="1:8" ht="34.5" customHeight="1" x14ac:dyDescent="0.25">
      <c r="A16" s="44" t="s">
        <v>439</v>
      </c>
      <c r="B16" s="97"/>
      <c r="C16" s="97"/>
      <c r="D16" s="98" t="s">
        <v>440</v>
      </c>
      <c r="E16" s="98"/>
      <c r="F16" s="98"/>
      <c r="G16" s="98"/>
      <c r="H16" s="98"/>
    </row>
    <row r="17" spans="1:8" ht="45" customHeight="1" x14ac:dyDescent="0.25">
      <c r="D17" s="94" t="s">
        <v>441</v>
      </c>
      <c r="E17" s="94"/>
      <c r="F17" s="94"/>
      <c r="G17" s="94"/>
      <c r="H17" s="94"/>
    </row>
    <row r="18" spans="1:8" x14ac:dyDescent="0.25">
      <c r="A18" s="82" t="s">
        <v>442</v>
      </c>
      <c r="B18" s="82"/>
      <c r="C18" s="82"/>
      <c r="D18" s="94"/>
      <c r="E18" s="94"/>
      <c r="F18" s="94"/>
      <c r="G18" s="94"/>
      <c r="H18" s="94"/>
    </row>
    <row r="19" spans="1:8" ht="24.75" customHeight="1" x14ac:dyDescent="0.25">
      <c r="A19" s="95" t="s">
        <v>443</v>
      </c>
      <c r="B19" s="95"/>
      <c r="C19" s="95"/>
      <c r="D19" s="96" t="s">
        <v>444</v>
      </c>
      <c r="E19" s="96"/>
      <c r="F19" s="96"/>
      <c r="G19" s="96"/>
      <c r="H19" s="96"/>
    </row>
    <row r="20" spans="1:8" ht="24.75" customHeight="1" x14ac:dyDescent="0.25">
      <c r="A20" s="95" t="s">
        <v>445</v>
      </c>
      <c r="B20" s="95"/>
      <c r="C20" s="95"/>
      <c r="D20" s="94" t="s">
        <v>446</v>
      </c>
      <c r="E20" s="94"/>
      <c r="F20" s="94"/>
      <c r="G20" s="94"/>
      <c r="H20" s="94"/>
    </row>
    <row r="21" spans="1:8" ht="24.75" customHeight="1" x14ac:dyDescent="0.25">
      <c r="A21" s="92" t="s">
        <v>447</v>
      </c>
      <c r="B21" s="92"/>
      <c r="C21" s="92"/>
      <c r="D21" s="94"/>
      <c r="E21" s="94"/>
      <c r="F21" s="94"/>
      <c r="G21" s="94"/>
      <c r="H21" s="94"/>
    </row>
    <row r="22" spans="1:8" ht="24.75" customHeight="1" x14ac:dyDescent="0.25">
      <c r="A22" s="92" t="s">
        <v>448</v>
      </c>
      <c r="B22" s="92"/>
      <c r="C22" s="92"/>
    </row>
    <row r="23" spans="1:8" ht="24.75" customHeight="1" x14ac:dyDescent="0.25">
      <c r="A23" s="93" t="s">
        <v>449</v>
      </c>
      <c r="B23" s="93"/>
      <c r="C23" s="93"/>
    </row>
    <row r="24" spans="1:8" ht="24.75" customHeight="1" x14ac:dyDescent="0.25">
      <c r="A24" s="93" t="s">
        <v>450</v>
      </c>
      <c r="B24" s="93"/>
      <c r="C24" s="93"/>
    </row>
  </sheetData>
  <mergeCells count="35">
    <mergeCell ref="A1:H1"/>
    <mergeCell ref="A2:H2"/>
    <mergeCell ref="D3:H3"/>
    <mergeCell ref="B4:C4"/>
    <mergeCell ref="D4:H4"/>
    <mergeCell ref="B5:C5"/>
    <mergeCell ref="D5:H6"/>
    <mergeCell ref="B6:C6"/>
    <mergeCell ref="B7:C7"/>
    <mergeCell ref="D7:H7"/>
    <mergeCell ref="B8:C8"/>
    <mergeCell ref="D8:H9"/>
    <mergeCell ref="B9:C9"/>
    <mergeCell ref="B10:C10"/>
    <mergeCell ref="D10:H10"/>
    <mergeCell ref="B11:C11"/>
    <mergeCell ref="D11:H12"/>
    <mergeCell ref="B12:C12"/>
    <mergeCell ref="B13:C13"/>
    <mergeCell ref="D13:H13"/>
    <mergeCell ref="B14:C14"/>
    <mergeCell ref="D14:H15"/>
    <mergeCell ref="B15:C15"/>
    <mergeCell ref="B16:C16"/>
    <mergeCell ref="D16:H16"/>
    <mergeCell ref="A22:C22"/>
    <mergeCell ref="A23:C23"/>
    <mergeCell ref="A24:C24"/>
    <mergeCell ref="D17:H18"/>
    <mergeCell ref="A18:C18"/>
    <mergeCell ref="A19:C19"/>
    <mergeCell ref="D19:H19"/>
    <mergeCell ref="A20:C20"/>
    <mergeCell ref="D20:H21"/>
    <mergeCell ref="A21:C21"/>
  </mergeCells>
  <dataValidations count="6">
    <dataValidation type="list" allowBlank="1" sqref="B5" xr:uid="{00000000-0002-0000-0300-000000000000}">
      <formula1>"TL-MT,CT-ĐH,HCM-TL-MT,Khác"</formula1>
      <formula2>0</formula2>
    </dataValidation>
    <dataValidation type="list" allowBlank="1" sqref="B7" xr:uid="{00000000-0002-0000-0300-000001000000}">
      <formula1>"Vận chuyển quản lý,Công tác phí,Bếp ăn &amp; Đời sống,Dầu (Nhiên liệu),Văn phòng phẩm,Tiếp khách,NVL trực tiếp,Nhân công,Máy thi công,Khác"</formula1>
      <formula2>0</formula2>
    </dataValidation>
    <dataValidation type="list" allowBlank="1" sqref="B8" xr:uid="{00000000-0002-0000-0300-000002000000}">
      <formula1>"Chi phí Vật tư trực tiếp (621),Chi phí Nhân công trực tiếp (622),Chi phí Máy thi công (623),Chi phí Quản lý công trường (627),Chi phí QLDN (642),Khác"</formula1>
      <formula2>0</formula2>
    </dataValidation>
    <dataValidation type="list" allowBlank="1" sqref="B11" xr:uid="{00000000-0002-0000-0300-000003000000}">
      <formula1>"Mới nhận (New),Đang xử lý,Đã hoàn ứng (Completed),Cần bổ sung CT,Từ chối"</formula1>
      <formula2>0</formula2>
    </dataValidation>
    <dataValidation type="list" allowBlank="1" sqref="B13" xr:uid="{00000000-0002-0000-0300-000004000000}">
      <formula1>"P0,P1,P2,P3"</formula1>
      <formula2>0</formula2>
    </dataValidation>
    <dataValidation type="list" allowBlank="1" sqref="B14" xr:uid="{00000000-0002-0000-0300-000005000000}">
      <formula1>"Quỹ HCNS,Quỹ Tiền Dầu,Quỹ Dự án,Quỹ Công ty"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6"/>
  <sheetViews>
    <sheetView showGridLines="0" zoomScaleNormal="100" workbookViewId="0">
      <selection activeCell="E5" sqref="E5"/>
    </sheetView>
  </sheetViews>
  <sheetFormatPr defaultColWidth="8.5703125" defaultRowHeight="15" x14ac:dyDescent="0.25"/>
  <cols>
    <col min="1" max="1" width="4" customWidth="1"/>
    <col min="2" max="2" width="28" customWidth="1"/>
    <col min="3" max="3" width="40" customWidth="1"/>
    <col min="4" max="4" width="28" customWidth="1"/>
    <col min="5" max="5" width="38" customWidth="1"/>
    <col min="6" max="6" width="28" customWidth="1"/>
    <col min="7" max="8" width="20" customWidth="1"/>
    <col min="9" max="9" width="35" customWidth="1"/>
  </cols>
  <sheetData>
    <row r="1" spans="1:10" ht="34.5" customHeight="1" x14ac:dyDescent="0.25">
      <c r="A1" s="86" t="s">
        <v>451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5" t="s">
        <v>452</v>
      </c>
      <c r="B2" s="85"/>
      <c r="C2" s="85"/>
      <c r="D2" s="85"/>
      <c r="E2" s="85"/>
      <c r="F2" s="85"/>
      <c r="G2" s="85"/>
      <c r="H2" s="85"/>
      <c r="I2" s="85"/>
      <c r="J2" s="85"/>
    </row>
    <row r="4" spans="1:10" ht="34.5" customHeight="1" x14ac:dyDescent="0.25">
      <c r="A4" s="1" t="s">
        <v>453</v>
      </c>
      <c r="B4" s="1" t="s">
        <v>222</v>
      </c>
      <c r="C4" s="1" t="s">
        <v>454</v>
      </c>
      <c r="D4" s="1" t="s">
        <v>230</v>
      </c>
      <c r="E4" s="1" t="s">
        <v>455</v>
      </c>
      <c r="F4" s="1" t="s">
        <v>456</v>
      </c>
      <c r="G4" s="1" t="s">
        <v>457</v>
      </c>
      <c r="H4" s="1" t="s">
        <v>458</v>
      </c>
      <c r="I4" s="1" t="s">
        <v>459</v>
      </c>
    </row>
    <row r="5" spans="1:10" ht="75" customHeight="1" x14ac:dyDescent="0.25">
      <c r="A5" s="45">
        <v>1</v>
      </c>
      <c r="B5" s="42" t="s">
        <v>460</v>
      </c>
      <c r="C5" s="5" t="s">
        <v>461</v>
      </c>
      <c r="D5" s="46" t="s">
        <v>462</v>
      </c>
      <c r="E5" s="7" t="s">
        <v>463</v>
      </c>
      <c r="F5" s="5" t="s">
        <v>464</v>
      </c>
      <c r="G5" s="9" t="s">
        <v>465</v>
      </c>
      <c r="H5" s="10" t="s">
        <v>466</v>
      </c>
      <c r="I5" s="42"/>
    </row>
    <row r="6" spans="1:10" ht="75" customHeight="1" x14ac:dyDescent="0.25">
      <c r="A6" s="45">
        <v>2</v>
      </c>
      <c r="B6" s="47" t="s">
        <v>467</v>
      </c>
      <c r="C6" s="6" t="s">
        <v>468</v>
      </c>
      <c r="D6" s="48" t="s">
        <v>469</v>
      </c>
      <c r="E6" s="7" t="s">
        <v>470</v>
      </c>
      <c r="F6" s="6" t="s">
        <v>76</v>
      </c>
      <c r="G6" s="9" t="s">
        <v>78</v>
      </c>
      <c r="H6" s="10" t="s">
        <v>471</v>
      </c>
      <c r="I6" s="42"/>
    </row>
    <row r="7" spans="1:10" ht="75" customHeight="1" x14ac:dyDescent="0.25">
      <c r="A7" s="45">
        <v>3</v>
      </c>
      <c r="B7" s="42" t="s">
        <v>472</v>
      </c>
      <c r="C7" s="5" t="s">
        <v>473</v>
      </c>
      <c r="D7" s="46" t="s">
        <v>474</v>
      </c>
      <c r="E7" s="7" t="s">
        <v>475</v>
      </c>
      <c r="F7" s="5" t="s">
        <v>103</v>
      </c>
      <c r="G7" s="9" t="s">
        <v>476</v>
      </c>
      <c r="H7" s="10" t="s">
        <v>477</v>
      </c>
      <c r="I7" s="49" t="s">
        <v>478</v>
      </c>
    </row>
    <row r="8" spans="1:10" ht="75" customHeight="1" x14ac:dyDescent="0.25">
      <c r="A8" s="45">
        <v>4</v>
      </c>
      <c r="B8" s="47" t="s">
        <v>479</v>
      </c>
      <c r="C8" s="6" t="s">
        <v>480</v>
      </c>
      <c r="D8" s="48" t="s">
        <v>481</v>
      </c>
      <c r="E8" s="7" t="s">
        <v>482</v>
      </c>
      <c r="F8" s="6" t="s">
        <v>203</v>
      </c>
      <c r="G8" s="9" t="s">
        <v>483</v>
      </c>
      <c r="H8" s="10" t="s">
        <v>484</v>
      </c>
      <c r="I8" s="49" t="s">
        <v>485</v>
      </c>
    </row>
    <row r="9" spans="1:10" ht="75" customHeight="1" x14ac:dyDescent="0.25">
      <c r="A9" s="45">
        <v>5</v>
      </c>
      <c r="B9" s="42" t="s">
        <v>486</v>
      </c>
      <c r="C9" s="5" t="s">
        <v>487</v>
      </c>
      <c r="D9" s="46" t="s">
        <v>488</v>
      </c>
      <c r="E9" s="7" t="s">
        <v>489</v>
      </c>
      <c r="F9" s="5" t="s">
        <v>167</v>
      </c>
      <c r="G9" s="8" t="s">
        <v>168</v>
      </c>
      <c r="H9" s="10" t="s">
        <v>490</v>
      </c>
      <c r="I9" s="49" t="s">
        <v>491</v>
      </c>
    </row>
    <row r="10" spans="1:10" ht="75" customHeight="1" x14ac:dyDescent="0.25">
      <c r="A10" s="45">
        <v>6</v>
      </c>
      <c r="B10" s="47" t="s">
        <v>492</v>
      </c>
      <c r="C10" s="6" t="s">
        <v>493</v>
      </c>
      <c r="D10" s="48" t="s">
        <v>494</v>
      </c>
      <c r="E10" s="7" t="s">
        <v>495</v>
      </c>
      <c r="F10" s="6" t="s">
        <v>167</v>
      </c>
      <c r="G10" s="8" t="s">
        <v>168</v>
      </c>
      <c r="H10" s="10" t="s">
        <v>496</v>
      </c>
      <c r="I10" s="42"/>
    </row>
    <row r="11" spans="1:10" ht="75" customHeight="1" x14ac:dyDescent="0.25">
      <c r="A11" s="45">
        <v>7</v>
      </c>
      <c r="B11" s="42" t="s">
        <v>497</v>
      </c>
      <c r="C11" s="5" t="s">
        <v>498</v>
      </c>
      <c r="D11" s="46" t="s">
        <v>499</v>
      </c>
      <c r="E11" s="7" t="s">
        <v>500</v>
      </c>
      <c r="F11" s="5" t="s">
        <v>167</v>
      </c>
      <c r="G11" s="8" t="s">
        <v>168</v>
      </c>
      <c r="H11" s="10" t="s">
        <v>501</v>
      </c>
      <c r="I11" s="42"/>
    </row>
    <row r="12" spans="1:10" ht="75" customHeight="1" x14ac:dyDescent="0.25">
      <c r="A12" s="45">
        <v>8</v>
      </c>
      <c r="B12" s="47" t="s">
        <v>502</v>
      </c>
      <c r="C12" s="6" t="s">
        <v>503</v>
      </c>
      <c r="D12" s="48" t="s">
        <v>504</v>
      </c>
      <c r="E12" s="7" t="s">
        <v>505</v>
      </c>
      <c r="F12" s="6" t="s">
        <v>506</v>
      </c>
      <c r="G12" s="9" t="s">
        <v>507</v>
      </c>
      <c r="H12" s="10" t="s">
        <v>508</v>
      </c>
      <c r="I12" s="49" t="s">
        <v>509</v>
      </c>
    </row>
    <row r="13" spans="1:10" ht="75" customHeight="1" x14ac:dyDescent="0.25">
      <c r="A13" s="45">
        <v>9</v>
      </c>
      <c r="B13" s="42" t="s">
        <v>510</v>
      </c>
      <c r="C13" s="5" t="s">
        <v>511</v>
      </c>
      <c r="D13" s="46" t="s">
        <v>512</v>
      </c>
      <c r="E13" s="7" t="s">
        <v>513</v>
      </c>
      <c r="F13" s="5" t="s">
        <v>514</v>
      </c>
      <c r="G13" s="9" t="s">
        <v>515</v>
      </c>
      <c r="H13" s="10" t="s">
        <v>516</v>
      </c>
      <c r="I13" s="49" t="s">
        <v>517</v>
      </c>
    </row>
    <row r="14" spans="1:10" ht="75" customHeight="1" x14ac:dyDescent="0.25">
      <c r="A14" s="45">
        <v>10</v>
      </c>
      <c r="B14" s="47" t="s">
        <v>518</v>
      </c>
      <c r="C14" s="6" t="s">
        <v>519</v>
      </c>
      <c r="D14" s="48" t="s">
        <v>520</v>
      </c>
      <c r="E14" s="7" t="s">
        <v>521</v>
      </c>
      <c r="F14" s="6" t="s">
        <v>45</v>
      </c>
      <c r="G14" s="9" t="s">
        <v>522</v>
      </c>
      <c r="H14" s="10" t="s">
        <v>523</v>
      </c>
      <c r="I14" s="42"/>
    </row>
    <row r="15" spans="1:10" ht="75" customHeight="1" x14ac:dyDescent="0.25">
      <c r="A15" s="45">
        <v>11</v>
      </c>
      <c r="B15" s="42" t="s">
        <v>524</v>
      </c>
      <c r="C15" s="5" t="s">
        <v>525</v>
      </c>
      <c r="D15" s="46" t="s">
        <v>526</v>
      </c>
      <c r="E15" s="7" t="s">
        <v>527</v>
      </c>
      <c r="F15" s="5" t="s">
        <v>155</v>
      </c>
      <c r="G15" s="9" t="s">
        <v>528</v>
      </c>
      <c r="H15" s="10" t="s">
        <v>529</v>
      </c>
      <c r="I15" s="49" t="s">
        <v>530</v>
      </c>
    </row>
    <row r="16" spans="1:10" ht="75" customHeight="1" x14ac:dyDescent="0.25">
      <c r="A16" s="45">
        <v>12</v>
      </c>
      <c r="B16" s="47" t="s">
        <v>531</v>
      </c>
      <c r="C16" s="6" t="s">
        <v>532</v>
      </c>
      <c r="D16" s="48" t="s">
        <v>58</v>
      </c>
      <c r="E16" s="7" t="s">
        <v>196</v>
      </c>
      <c r="F16" s="6" t="s">
        <v>45</v>
      </c>
      <c r="G16" s="9" t="s">
        <v>533</v>
      </c>
      <c r="H16" s="10" t="s">
        <v>484</v>
      </c>
      <c r="I16" s="42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8"/>
  <sheetViews>
    <sheetView showGridLines="0" topLeftCell="A14" zoomScaleNormal="100" workbookViewId="0">
      <selection sqref="A1:H1"/>
    </sheetView>
  </sheetViews>
  <sheetFormatPr defaultColWidth="8.5703125" defaultRowHeight="15" x14ac:dyDescent="0.25"/>
  <cols>
    <col min="1" max="1" width="28" customWidth="1"/>
    <col min="2" max="2" width="20" customWidth="1"/>
    <col min="3" max="5" width="16" customWidth="1"/>
    <col min="6" max="6" width="12" customWidth="1"/>
    <col min="7" max="7" width="40" customWidth="1"/>
    <col min="8" max="8" width="5" customWidth="1"/>
  </cols>
  <sheetData>
    <row r="1" spans="1:8" ht="34.5" customHeight="1" x14ac:dyDescent="0.25">
      <c r="A1" s="86" t="s">
        <v>534</v>
      </c>
      <c r="B1" s="86"/>
      <c r="C1" s="86"/>
      <c r="D1" s="86"/>
      <c r="E1" s="86"/>
      <c r="F1" s="86"/>
      <c r="G1" s="86"/>
      <c r="H1" s="86"/>
    </row>
    <row r="2" spans="1:8" ht="21.75" customHeight="1" x14ac:dyDescent="0.25">
      <c r="A2" s="104" t="s">
        <v>535</v>
      </c>
      <c r="B2" s="104"/>
      <c r="C2" s="104"/>
      <c r="D2" s="104"/>
      <c r="E2" s="104"/>
      <c r="F2" s="104"/>
      <c r="G2" s="104"/>
      <c r="H2" s="104"/>
    </row>
    <row r="4" spans="1:8" ht="27.75" customHeight="1" x14ac:dyDescent="0.25">
      <c r="A4" s="111" t="s">
        <v>536</v>
      </c>
      <c r="B4" s="111"/>
      <c r="C4" s="111"/>
      <c r="D4" s="111"/>
      <c r="E4" s="111"/>
      <c r="F4" s="111"/>
      <c r="G4" s="111"/>
      <c r="H4" s="111"/>
    </row>
    <row r="5" spans="1:8" ht="27.75" customHeight="1" x14ac:dyDescent="0.25">
      <c r="A5" s="50" t="s">
        <v>537</v>
      </c>
      <c r="B5" s="50" t="s">
        <v>538</v>
      </c>
      <c r="C5" s="50" t="s">
        <v>539</v>
      </c>
      <c r="D5" s="50" t="s">
        <v>540</v>
      </c>
      <c r="E5" s="50" t="s">
        <v>541</v>
      </c>
      <c r="F5" s="50" t="s">
        <v>542</v>
      </c>
      <c r="G5" s="50" t="s">
        <v>439</v>
      </c>
    </row>
    <row r="6" spans="1:8" ht="21.75" customHeight="1" x14ac:dyDescent="0.25">
      <c r="A6" s="51" t="s">
        <v>543</v>
      </c>
      <c r="B6" s="51" t="s">
        <v>544</v>
      </c>
      <c r="C6" s="51" t="s">
        <v>545</v>
      </c>
      <c r="D6" s="51" t="s">
        <v>546</v>
      </c>
      <c r="E6" s="51" t="s">
        <v>547</v>
      </c>
      <c r="F6" s="51" t="s">
        <v>548</v>
      </c>
      <c r="G6" s="51"/>
    </row>
    <row r="7" spans="1:8" ht="21.75" customHeight="1" x14ac:dyDescent="0.25">
      <c r="A7" s="43" t="s">
        <v>543</v>
      </c>
      <c r="B7" s="43" t="s">
        <v>549</v>
      </c>
      <c r="C7" s="43" t="s">
        <v>545</v>
      </c>
      <c r="D7" s="43" t="s">
        <v>550</v>
      </c>
      <c r="E7" s="43" t="s">
        <v>548</v>
      </c>
      <c r="F7" s="43" t="s">
        <v>551</v>
      </c>
      <c r="G7" s="43"/>
    </row>
    <row r="8" spans="1:8" ht="21.75" customHeight="1" x14ac:dyDescent="0.25">
      <c r="A8" s="51" t="s">
        <v>552</v>
      </c>
      <c r="B8" s="51" t="s">
        <v>544</v>
      </c>
      <c r="C8" s="51" t="s">
        <v>545</v>
      </c>
      <c r="D8" s="51" t="s">
        <v>547</v>
      </c>
      <c r="E8" s="51" t="s">
        <v>548</v>
      </c>
      <c r="F8" s="51" t="s">
        <v>551</v>
      </c>
      <c r="G8" s="51"/>
    </row>
    <row r="9" spans="1:8" ht="21.75" customHeight="1" x14ac:dyDescent="0.25">
      <c r="A9" s="43" t="s">
        <v>552</v>
      </c>
      <c r="B9" s="43" t="s">
        <v>549</v>
      </c>
      <c r="C9" s="43" t="s">
        <v>545</v>
      </c>
      <c r="D9" s="43" t="s">
        <v>553</v>
      </c>
      <c r="E9" s="43" t="s">
        <v>551</v>
      </c>
      <c r="F9" s="43" t="s">
        <v>554</v>
      </c>
      <c r="G9" s="43"/>
    </row>
    <row r="10" spans="1:8" ht="21.75" customHeight="1" x14ac:dyDescent="0.25">
      <c r="A10" s="51" t="s">
        <v>555</v>
      </c>
      <c r="B10" s="51" t="s">
        <v>544</v>
      </c>
      <c r="C10" s="51" t="s">
        <v>545</v>
      </c>
      <c r="D10" s="51" t="s">
        <v>553</v>
      </c>
      <c r="E10" s="51" t="s">
        <v>551</v>
      </c>
      <c r="F10" s="51" t="s">
        <v>554</v>
      </c>
      <c r="G10" s="51"/>
    </row>
    <row r="11" spans="1:8" ht="21.75" customHeight="1" x14ac:dyDescent="0.25">
      <c r="A11" s="43" t="s">
        <v>555</v>
      </c>
      <c r="B11" s="43" t="s">
        <v>549</v>
      </c>
      <c r="C11" s="43" t="s">
        <v>545</v>
      </c>
      <c r="D11" s="43" t="s">
        <v>551</v>
      </c>
      <c r="E11" s="43" t="s">
        <v>554</v>
      </c>
      <c r="F11" s="43" t="s">
        <v>556</v>
      </c>
      <c r="G11" s="43"/>
    </row>
    <row r="13" spans="1:8" ht="27.75" customHeight="1" x14ac:dyDescent="0.25">
      <c r="A13" s="112" t="s">
        <v>557</v>
      </c>
      <c r="B13" s="112"/>
      <c r="C13" s="112"/>
      <c r="D13" s="112"/>
      <c r="E13" s="112"/>
      <c r="F13" s="112"/>
      <c r="G13" s="112"/>
      <c r="H13" s="112"/>
    </row>
    <row r="14" spans="1:8" ht="27.75" customHeight="1" x14ac:dyDescent="0.25">
      <c r="A14" s="45" t="s">
        <v>558</v>
      </c>
      <c r="B14" s="45" t="s">
        <v>537</v>
      </c>
      <c r="C14" s="45" t="s">
        <v>559</v>
      </c>
      <c r="D14" s="45" t="s">
        <v>541</v>
      </c>
      <c r="E14" s="45" t="s">
        <v>542</v>
      </c>
      <c r="F14" s="45" t="s">
        <v>560</v>
      </c>
      <c r="G14" s="45" t="s">
        <v>561</v>
      </c>
    </row>
    <row r="15" spans="1:8" ht="21.75" customHeight="1" x14ac:dyDescent="0.25">
      <c r="A15" s="52" t="s">
        <v>562</v>
      </c>
      <c r="B15" s="52" t="s">
        <v>563</v>
      </c>
      <c r="C15" s="52" t="s">
        <v>564</v>
      </c>
      <c r="D15" s="52" t="s">
        <v>565</v>
      </c>
      <c r="E15" s="52" t="s">
        <v>566</v>
      </c>
      <c r="F15" s="52" t="s">
        <v>567</v>
      </c>
      <c r="G15" s="52" t="s">
        <v>568</v>
      </c>
    </row>
    <row r="16" spans="1:8" ht="21.75" customHeight="1" x14ac:dyDescent="0.25">
      <c r="A16" s="53" t="s">
        <v>562</v>
      </c>
      <c r="B16" s="53" t="s">
        <v>569</v>
      </c>
      <c r="C16" s="53" t="s">
        <v>564</v>
      </c>
      <c r="D16" s="53" t="s">
        <v>566</v>
      </c>
      <c r="E16" s="53" t="s">
        <v>570</v>
      </c>
      <c r="F16" s="53" t="s">
        <v>567</v>
      </c>
      <c r="G16" s="53" t="s">
        <v>571</v>
      </c>
    </row>
    <row r="17" spans="1:8" ht="21.75" customHeight="1" x14ac:dyDescent="0.25">
      <c r="A17" s="52" t="s">
        <v>562</v>
      </c>
      <c r="B17" s="52" t="s">
        <v>572</v>
      </c>
      <c r="C17" s="52" t="s">
        <v>564</v>
      </c>
      <c r="D17" s="52" t="s">
        <v>570</v>
      </c>
      <c r="E17" s="52" t="s">
        <v>573</v>
      </c>
      <c r="F17" s="52" t="s">
        <v>567</v>
      </c>
      <c r="G17" s="52"/>
    </row>
    <row r="18" spans="1:8" ht="21.75" customHeight="1" x14ac:dyDescent="0.25">
      <c r="A18" s="53" t="s">
        <v>574</v>
      </c>
      <c r="B18" s="53" t="s">
        <v>563</v>
      </c>
      <c r="C18" s="53" t="s">
        <v>564</v>
      </c>
      <c r="D18" s="53" t="s">
        <v>575</v>
      </c>
      <c r="E18" s="53" t="s">
        <v>576</v>
      </c>
      <c r="F18" s="53" t="s">
        <v>577</v>
      </c>
      <c r="G18" s="53" t="s">
        <v>578</v>
      </c>
    </row>
    <row r="19" spans="1:8" ht="21.75" customHeight="1" x14ac:dyDescent="0.25">
      <c r="A19" s="52" t="s">
        <v>574</v>
      </c>
      <c r="B19" s="52" t="s">
        <v>569</v>
      </c>
      <c r="C19" s="52" t="s">
        <v>564</v>
      </c>
      <c r="D19" s="52" t="s">
        <v>576</v>
      </c>
      <c r="E19" s="52" t="s">
        <v>579</v>
      </c>
      <c r="F19" s="52" t="s">
        <v>577</v>
      </c>
      <c r="G19" s="52" t="s">
        <v>580</v>
      </c>
    </row>
    <row r="20" spans="1:8" ht="21.75" customHeight="1" x14ac:dyDescent="0.25">
      <c r="A20" s="53" t="s">
        <v>574</v>
      </c>
      <c r="B20" s="53" t="s">
        <v>572</v>
      </c>
      <c r="C20" s="53" t="s">
        <v>564</v>
      </c>
      <c r="D20" s="53" t="s">
        <v>579</v>
      </c>
      <c r="E20" s="53" t="s">
        <v>581</v>
      </c>
      <c r="F20" s="53" t="s">
        <v>577</v>
      </c>
      <c r="G20" s="53"/>
    </row>
    <row r="22" spans="1:8" ht="27.75" customHeight="1" x14ac:dyDescent="0.25">
      <c r="A22" s="113" t="s">
        <v>582</v>
      </c>
      <c r="B22" s="113"/>
      <c r="C22" s="113"/>
      <c r="D22" s="113"/>
      <c r="E22" s="113"/>
      <c r="F22" s="113"/>
      <c r="G22" s="113"/>
      <c r="H22" s="113"/>
    </row>
    <row r="23" spans="1:8" x14ac:dyDescent="0.25">
      <c r="A23" s="54" t="s">
        <v>583</v>
      </c>
      <c r="B23" s="54" t="s">
        <v>584</v>
      </c>
      <c r="C23" s="54" t="s">
        <v>439</v>
      </c>
    </row>
    <row r="24" spans="1:8" ht="24.75" customHeight="1" x14ac:dyDescent="0.25">
      <c r="A24" s="16" t="s">
        <v>585</v>
      </c>
      <c r="B24" s="16" t="s">
        <v>586</v>
      </c>
      <c r="C24" s="108"/>
      <c r="D24" s="108"/>
      <c r="E24" s="108"/>
      <c r="F24" s="108"/>
      <c r="G24" s="108"/>
      <c r="H24" s="108"/>
    </row>
    <row r="25" spans="1:8" ht="24.75" customHeight="1" x14ac:dyDescent="0.25">
      <c r="A25" s="5" t="s">
        <v>587</v>
      </c>
      <c r="B25" s="5" t="s">
        <v>588</v>
      </c>
      <c r="C25" s="109"/>
      <c r="D25" s="109"/>
      <c r="E25" s="109"/>
      <c r="F25" s="109"/>
      <c r="G25" s="109"/>
      <c r="H25" s="109"/>
    </row>
    <row r="26" spans="1:8" ht="24.75" customHeight="1" x14ac:dyDescent="0.25">
      <c r="A26" s="16" t="s">
        <v>589</v>
      </c>
      <c r="B26" s="16" t="s">
        <v>590</v>
      </c>
      <c r="C26" s="108" t="s">
        <v>591</v>
      </c>
      <c r="D26" s="108"/>
      <c r="E26" s="108"/>
      <c r="F26" s="108"/>
      <c r="G26" s="108"/>
      <c r="H26" s="108"/>
    </row>
    <row r="27" spans="1:8" ht="24.75" customHeight="1" x14ac:dyDescent="0.25">
      <c r="A27" s="5" t="s">
        <v>592</v>
      </c>
      <c r="B27" s="5" t="s">
        <v>593</v>
      </c>
      <c r="C27" s="109"/>
      <c r="D27" s="109"/>
      <c r="E27" s="109"/>
      <c r="F27" s="109"/>
      <c r="G27" s="109"/>
      <c r="H27" s="109"/>
    </row>
    <row r="29" spans="1:8" ht="27.75" customHeight="1" x14ac:dyDescent="0.25">
      <c r="A29" s="110" t="s">
        <v>594</v>
      </c>
      <c r="B29" s="110"/>
      <c r="C29" s="110"/>
      <c r="D29" s="110"/>
      <c r="E29" s="110"/>
      <c r="F29" s="110"/>
      <c r="G29" s="110"/>
      <c r="H29" s="110"/>
    </row>
    <row r="30" spans="1:8" x14ac:dyDescent="0.25">
      <c r="A30" s="55" t="s">
        <v>29</v>
      </c>
      <c r="B30" s="55" t="s">
        <v>595</v>
      </c>
      <c r="C30" s="55" t="s">
        <v>596</v>
      </c>
      <c r="D30" s="55" t="s">
        <v>597</v>
      </c>
      <c r="E30" s="55" t="s">
        <v>561</v>
      </c>
    </row>
    <row r="31" spans="1:8" ht="36" customHeight="1" x14ac:dyDescent="0.25">
      <c r="A31" s="52">
        <v>1</v>
      </c>
      <c r="B31" s="5" t="s">
        <v>598</v>
      </c>
      <c r="C31" s="5" t="s">
        <v>599</v>
      </c>
      <c r="D31" s="5" t="s">
        <v>600</v>
      </c>
      <c r="E31" s="5" t="s">
        <v>601</v>
      </c>
    </row>
    <row r="32" spans="1:8" ht="30" customHeight="1" x14ac:dyDescent="0.25">
      <c r="A32" s="56">
        <v>2</v>
      </c>
      <c r="B32" s="21" t="s">
        <v>602</v>
      </c>
      <c r="C32" s="21" t="s">
        <v>603</v>
      </c>
      <c r="D32" s="21" t="s">
        <v>604</v>
      </c>
      <c r="E32" s="21"/>
    </row>
    <row r="33" spans="1:5" ht="30" customHeight="1" x14ac:dyDescent="0.25">
      <c r="A33" s="52">
        <v>3</v>
      </c>
      <c r="B33" s="5" t="s">
        <v>605</v>
      </c>
      <c r="C33" s="5" t="s">
        <v>606</v>
      </c>
      <c r="D33" s="5" t="s">
        <v>607</v>
      </c>
      <c r="E33" s="5"/>
    </row>
    <row r="34" spans="1:5" ht="30" customHeight="1" x14ac:dyDescent="0.25">
      <c r="A34" s="56">
        <v>4</v>
      </c>
      <c r="B34" s="21" t="s">
        <v>608</v>
      </c>
      <c r="C34" s="21" t="s">
        <v>609</v>
      </c>
      <c r="D34" s="21" t="s">
        <v>600</v>
      </c>
      <c r="E34" s="21" t="s">
        <v>610</v>
      </c>
    </row>
    <row r="35" spans="1:5" ht="42.95" customHeight="1" x14ac:dyDescent="0.25">
      <c r="A35" s="52">
        <v>5</v>
      </c>
      <c r="B35" s="5" t="s">
        <v>611</v>
      </c>
      <c r="C35" s="5" t="s">
        <v>612</v>
      </c>
      <c r="D35" s="5" t="s">
        <v>613</v>
      </c>
      <c r="E35" s="5" t="s">
        <v>614</v>
      </c>
    </row>
    <row r="36" spans="1:5" ht="30" customHeight="1" x14ac:dyDescent="0.25">
      <c r="A36" s="56">
        <v>6</v>
      </c>
      <c r="B36" s="21" t="s">
        <v>615</v>
      </c>
      <c r="C36" s="21" t="s">
        <v>616</v>
      </c>
      <c r="D36" s="21" t="s">
        <v>617</v>
      </c>
      <c r="E36" s="21" t="s">
        <v>618</v>
      </c>
    </row>
    <row r="37" spans="1:5" ht="30" customHeight="1" x14ac:dyDescent="0.25">
      <c r="A37" s="52">
        <v>7</v>
      </c>
      <c r="B37" s="5" t="s">
        <v>619</v>
      </c>
      <c r="C37" s="5" t="s">
        <v>620</v>
      </c>
      <c r="D37" s="5" t="s">
        <v>621</v>
      </c>
      <c r="E37" s="5"/>
    </row>
    <row r="38" spans="1:5" ht="55.5" customHeight="1" x14ac:dyDescent="0.25">
      <c r="A38" s="56">
        <v>8</v>
      </c>
      <c r="B38" s="21" t="s">
        <v>622</v>
      </c>
      <c r="C38" s="21" t="s">
        <v>623</v>
      </c>
      <c r="D38" s="21" t="s">
        <v>624</v>
      </c>
      <c r="E38" s="21" t="s">
        <v>625</v>
      </c>
    </row>
  </sheetData>
  <mergeCells count="10">
    <mergeCell ref="A1:H1"/>
    <mergeCell ref="A2:H2"/>
    <mergeCell ref="A4:H4"/>
    <mergeCell ref="A13:H13"/>
    <mergeCell ref="A22:H22"/>
    <mergeCell ref="C24:H24"/>
    <mergeCell ref="C25:H25"/>
    <mergeCell ref="C26:H26"/>
    <mergeCell ref="C27:H27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showGridLines="0" zoomScaleNormal="100" workbookViewId="0">
      <selection sqref="A1:F1"/>
    </sheetView>
  </sheetViews>
  <sheetFormatPr defaultColWidth="8.5703125" defaultRowHeight="15" x14ac:dyDescent="0.25"/>
  <cols>
    <col min="1" max="1" width="6" customWidth="1"/>
    <col min="2" max="2" width="22" customWidth="1"/>
    <col min="3" max="3" width="48" customWidth="1"/>
    <col min="4" max="5" width="22" customWidth="1"/>
    <col min="6" max="6" width="40" customWidth="1"/>
  </cols>
  <sheetData>
    <row r="1" spans="1:6" ht="34.5" customHeight="1" x14ac:dyDescent="0.25">
      <c r="A1" s="86" t="s">
        <v>626</v>
      </c>
      <c r="B1" s="86"/>
      <c r="C1" s="86"/>
      <c r="D1" s="86"/>
      <c r="E1" s="86"/>
      <c r="F1" s="86"/>
    </row>
    <row r="3" spans="1:6" ht="30" customHeight="1" x14ac:dyDescent="0.25">
      <c r="A3" s="114" t="s">
        <v>627</v>
      </c>
      <c r="B3" s="114"/>
      <c r="C3" s="114"/>
      <c r="D3" s="114"/>
      <c r="E3" s="114"/>
      <c r="F3" s="114"/>
    </row>
    <row r="4" spans="1:6" ht="30" customHeight="1" x14ac:dyDescent="0.25">
      <c r="A4" s="57" t="s">
        <v>628</v>
      </c>
      <c r="B4" s="57" t="s">
        <v>629</v>
      </c>
      <c r="C4" s="57" t="s">
        <v>630</v>
      </c>
      <c r="D4" s="57" t="s">
        <v>631</v>
      </c>
      <c r="E4" s="57" t="s">
        <v>632</v>
      </c>
      <c r="F4" s="57" t="s">
        <v>633</v>
      </c>
    </row>
    <row r="5" spans="1:6" ht="69.75" customHeight="1" x14ac:dyDescent="0.25">
      <c r="A5" s="45" t="s">
        <v>634</v>
      </c>
      <c r="B5" s="42" t="s">
        <v>635</v>
      </c>
      <c r="C5" s="5" t="s">
        <v>636</v>
      </c>
      <c r="D5" s="8" t="s">
        <v>637</v>
      </c>
      <c r="E5" s="10" t="s">
        <v>638</v>
      </c>
      <c r="F5" s="7" t="s">
        <v>639</v>
      </c>
    </row>
    <row r="6" spans="1:6" ht="69.75" customHeight="1" x14ac:dyDescent="0.25">
      <c r="A6" s="45" t="s">
        <v>640</v>
      </c>
      <c r="B6" s="58" t="s">
        <v>641</v>
      </c>
      <c r="C6" s="4" t="s">
        <v>642</v>
      </c>
      <c r="D6" s="8" t="s">
        <v>643</v>
      </c>
      <c r="E6" s="10" t="s">
        <v>644</v>
      </c>
      <c r="F6" s="26" t="s">
        <v>645</v>
      </c>
    </row>
    <row r="7" spans="1:6" ht="69.75" customHeight="1" x14ac:dyDescent="0.25">
      <c r="A7" s="45" t="s">
        <v>646</v>
      </c>
      <c r="B7" s="42" t="s">
        <v>647</v>
      </c>
      <c r="C7" s="5" t="s">
        <v>648</v>
      </c>
      <c r="D7" s="8" t="s">
        <v>649</v>
      </c>
      <c r="E7" s="10" t="s">
        <v>650</v>
      </c>
      <c r="F7" s="26" t="s">
        <v>651</v>
      </c>
    </row>
    <row r="8" spans="1:6" ht="69.75" customHeight="1" x14ac:dyDescent="0.25">
      <c r="A8" s="45" t="s">
        <v>652</v>
      </c>
      <c r="B8" s="58" t="s">
        <v>653</v>
      </c>
      <c r="C8" s="4" t="s">
        <v>654</v>
      </c>
      <c r="D8" s="8" t="s">
        <v>655</v>
      </c>
      <c r="E8" s="10" t="s">
        <v>656</v>
      </c>
      <c r="F8" s="7" t="s">
        <v>657</v>
      </c>
    </row>
    <row r="9" spans="1:6" ht="69.75" customHeight="1" x14ac:dyDescent="0.25">
      <c r="A9" s="45" t="s">
        <v>658</v>
      </c>
      <c r="B9" s="42" t="s">
        <v>659</v>
      </c>
      <c r="C9" s="5" t="s">
        <v>660</v>
      </c>
      <c r="D9" s="8" t="s">
        <v>661</v>
      </c>
      <c r="E9" s="10" t="s">
        <v>662</v>
      </c>
      <c r="F9" s="7" t="s">
        <v>663</v>
      </c>
    </row>
    <row r="10" spans="1:6" ht="69.75" customHeight="1" x14ac:dyDescent="0.25">
      <c r="A10" s="45" t="s">
        <v>664</v>
      </c>
      <c r="B10" s="58" t="s">
        <v>647</v>
      </c>
      <c r="C10" s="4" t="s">
        <v>665</v>
      </c>
      <c r="D10" s="8" t="s">
        <v>666</v>
      </c>
      <c r="E10" s="10" t="s">
        <v>667</v>
      </c>
      <c r="F10" s="7" t="s">
        <v>668</v>
      </c>
    </row>
    <row r="12" spans="1:6" ht="30" customHeight="1" x14ac:dyDescent="0.25">
      <c r="A12" s="115" t="s">
        <v>669</v>
      </c>
      <c r="B12" s="115"/>
      <c r="C12" s="115"/>
      <c r="D12" s="115"/>
      <c r="E12" s="115"/>
      <c r="F12" s="115"/>
    </row>
    <row r="13" spans="1:6" ht="30" customHeight="1" x14ac:dyDescent="0.25">
      <c r="A13" s="50" t="s">
        <v>628</v>
      </c>
      <c r="B13" s="50" t="s">
        <v>629</v>
      </c>
      <c r="C13" s="50" t="s">
        <v>630</v>
      </c>
      <c r="D13" s="50" t="s">
        <v>631</v>
      </c>
      <c r="E13" s="50" t="s">
        <v>632</v>
      </c>
      <c r="F13" s="50" t="s">
        <v>633</v>
      </c>
    </row>
    <row r="14" spans="1:6" ht="69.75" customHeight="1" x14ac:dyDescent="0.25">
      <c r="A14" s="45" t="s">
        <v>634</v>
      </c>
      <c r="B14" s="42" t="s">
        <v>670</v>
      </c>
      <c r="C14" s="5" t="s">
        <v>671</v>
      </c>
      <c r="D14" s="8" t="s">
        <v>672</v>
      </c>
      <c r="E14" s="10" t="s">
        <v>673</v>
      </c>
      <c r="F14" s="7" t="s">
        <v>674</v>
      </c>
    </row>
    <row r="15" spans="1:6" ht="69.75" customHeight="1" x14ac:dyDescent="0.25">
      <c r="A15" s="45" t="s">
        <v>640</v>
      </c>
      <c r="B15" s="58" t="s">
        <v>641</v>
      </c>
      <c r="C15" s="4" t="s">
        <v>675</v>
      </c>
      <c r="D15" s="8" t="s">
        <v>643</v>
      </c>
      <c r="E15" s="10" t="s">
        <v>676</v>
      </c>
      <c r="F15" s="7" t="s">
        <v>677</v>
      </c>
    </row>
    <row r="16" spans="1:6" ht="69.75" customHeight="1" x14ac:dyDescent="0.25">
      <c r="A16" s="45" t="s">
        <v>646</v>
      </c>
      <c r="B16" s="42" t="s">
        <v>647</v>
      </c>
      <c r="C16" s="5" t="s">
        <v>678</v>
      </c>
      <c r="D16" s="8" t="s">
        <v>679</v>
      </c>
      <c r="E16" s="10" t="s">
        <v>680</v>
      </c>
      <c r="F16" s="26" t="s">
        <v>681</v>
      </c>
    </row>
    <row r="17" spans="1:6" ht="69.75" customHeight="1" x14ac:dyDescent="0.25">
      <c r="A17" s="45" t="s">
        <v>652</v>
      </c>
      <c r="B17" s="58" t="s">
        <v>682</v>
      </c>
      <c r="C17" s="4" t="s">
        <v>683</v>
      </c>
      <c r="D17" s="8" t="s">
        <v>684</v>
      </c>
      <c r="E17" s="10" t="s">
        <v>685</v>
      </c>
      <c r="F17" s="7" t="s">
        <v>686</v>
      </c>
    </row>
    <row r="18" spans="1:6" ht="69.75" customHeight="1" x14ac:dyDescent="0.25">
      <c r="A18" s="45" t="s">
        <v>658</v>
      </c>
      <c r="B18" s="42" t="s">
        <v>687</v>
      </c>
      <c r="C18" s="5" t="s">
        <v>688</v>
      </c>
      <c r="D18" s="8" t="s">
        <v>666</v>
      </c>
      <c r="E18" s="10" t="s">
        <v>689</v>
      </c>
      <c r="F18" s="7" t="s">
        <v>690</v>
      </c>
    </row>
    <row r="19" spans="1:6" ht="69.75" customHeight="1" x14ac:dyDescent="0.25">
      <c r="A19" s="45" t="s">
        <v>664</v>
      </c>
      <c r="B19" s="58" t="s">
        <v>647</v>
      </c>
      <c r="C19" s="4" t="s">
        <v>691</v>
      </c>
      <c r="D19" s="8" t="s">
        <v>666</v>
      </c>
      <c r="E19" s="10" t="s">
        <v>692</v>
      </c>
      <c r="F19" s="7" t="s">
        <v>693</v>
      </c>
    </row>
  </sheetData>
  <mergeCells count="3">
    <mergeCell ref="A1:F1"/>
    <mergeCell ref="A3:F3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9"/>
  <sheetViews>
    <sheetView showGridLines="0" zoomScaleNormal="100" workbookViewId="0">
      <selection sqref="A1:I1"/>
    </sheetView>
  </sheetViews>
  <sheetFormatPr defaultColWidth="8.5703125" defaultRowHeight="15" x14ac:dyDescent="0.25"/>
  <cols>
    <col min="1" max="1" width="22" customWidth="1"/>
    <col min="2" max="2" width="14" customWidth="1"/>
    <col min="3" max="3" width="45" customWidth="1"/>
    <col min="4" max="4" width="20" customWidth="1"/>
    <col min="5" max="5" width="22" customWidth="1"/>
    <col min="6" max="6" width="20" customWidth="1"/>
    <col min="7" max="8" width="14" customWidth="1"/>
    <col min="9" max="9" width="35" customWidth="1"/>
  </cols>
  <sheetData>
    <row r="1" spans="1:9" ht="34.5" customHeight="1" x14ac:dyDescent="0.25">
      <c r="A1" s="86" t="s">
        <v>694</v>
      </c>
      <c r="B1" s="86"/>
      <c r="C1" s="86"/>
      <c r="D1" s="86"/>
      <c r="E1" s="86"/>
      <c r="F1" s="86"/>
      <c r="G1" s="86"/>
      <c r="H1" s="86"/>
      <c r="I1" s="86"/>
    </row>
    <row r="2" spans="1:9" ht="27.75" customHeight="1" x14ac:dyDescent="0.25">
      <c r="A2" s="112" t="s">
        <v>695</v>
      </c>
      <c r="B2" s="112"/>
      <c r="C2" s="112"/>
      <c r="D2" s="112"/>
      <c r="E2" s="112"/>
      <c r="F2" s="112"/>
      <c r="G2" s="112"/>
      <c r="H2" s="112"/>
      <c r="I2" s="112"/>
    </row>
    <row r="3" spans="1:9" ht="30" customHeight="1" x14ac:dyDescent="0.25">
      <c r="A3" s="1" t="s">
        <v>696</v>
      </c>
      <c r="B3" s="1" t="s">
        <v>697</v>
      </c>
      <c r="C3" s="1" t="s">
        <v>698</v>
      </c>
      <c r="D3" s="1" t="s">
        <v>699</v>
      </c>
      <c r="E3" s="1" t="s">
        <v>700</v>
      </c>
      <c r="F3" s="1" t="s">
        <v>458</v>
      </c>
      <c r="G3" s="1" t="s">
        <v>232</v>
      </c>
      <c r="H3" s="1" t="s">
        <v>701</v>
      </c>
      <c r="I3" s="1" t="s">
        <v>439</v>
      </c>
    </row>
    <row r="4" spans="1:9" ht="30" customHeight="1" x14ac:dyDescent="0.25">
      <c r="A4" s="25" t="s">
        <v>702</v>
      </c>
      <c r="B4" s="24" t="s">
        <v>703</v>
      </c>
      <c r="C4" s="26" t="s">
        <v>704</v>
      </c>
      <c r="D4" s="26" t="s">
        <v>705</v>
      </c>
      <c r="E4" s="26" t="s">
        <v>706</v>
      </c>
      <c r="F4" s="10" t="s">
        <v>707</v>
      </c>
      <c r="G4" s="24" t="s">
        <v>708</v>
      </c>
      <c r="H4" s="59"/>
      <c r="I4" s="26" t="s">
        <v>709</v>
      </c>
    </row>
    <row r="5" spans="1:9" ht="30" customHeight="1" x14ac:dyDescent="0.25">
      <c r="A5" s="25" t="s">
        <v>710</v>
      </c>
      <c r="B5" s="24" t="s">
        <v>703</v>
      </c>
      <c r="C5" s="26" t="s">
        <v>711</v>
      </c>
      <c r="D5" s="26" t="s">
        <v>712</v>
      </c>
      <c r="E5" s="26" t="s">
        <v>713</v>
      </c>
      <c r="F5" s="10" t="s">
        <v>58</v>
      </c>
      <c r="G5" s="24" t="s">
        <v>708</v>
      </c>
      <c r="H5" s="59"/>
      <c r="I5" s="26" t="s">
        <v>714</v>
      </c>
    </row>
    <row r="6" spans="1:9" ht="30" customHeight="1" x14ac:dyDescent="0.25">
      <c r="A6" s="25" t="s">
        <v>715</v>
      </c>
      <c r="B6" s="24" t="s">
        <v>703</v>
      </c>
      <c r="C6" s="26" t="s">
        <v>716</v>
      </c>
      <c r="D6" s="26" t="s">
        <v>705</v>
      </c>
      <c r="E6" s="26" t="s">
        <v>706</v>
      </c>
      <c r="F6" s="10" t="s">
        <v>58</v>
      </c>
      <c r="G6" s="24" t="s">
        <v>708</v>
      </c>
      <c r="H6" s="59"/>
      <c r="I6" s="26"/>
    </row>
    <row r="7" spans="1:9" ht="30" customHeight="1" x14ac:dyDescent="0.25">
      <c r="A7" s="25" t="s">
        <v>717</v>
      </c>
      <c r="B7" s="24" t="s">
        <v>703</v>
      </c>
      <c r="C7" s="26" t="s">
        <v>718</v>
      </c>
      <c r="D7" s="26" t="s">
        <v>705</v>
      </c>
      <c r="E7" s="26" t="s">
        <v>706</v>
      </c>
      <c r="F7" s="10" t="s">
        <v>58</v>
      </c>
      <c r="G7" s="24" t="s">
        <v>708</v>
      </c>
      <c r="H7" s="59"/>
      <c r="I7" s="26"/>
    </row>
    <row r="8" spans="1:9" ht="30" customHeight="1" x14ac:dyDescent="0.25">
      <c r="A8" s="25" t="s">
        <v>719</v>
      </c>
      <c r="B8" s="24" t="s">
        <v>720</v>
      </c>
      <c r="C8" s="26" t="s">
        <v>721</v>
      </c>
      <c r="D8" s="26" t="s">
        <v>705</v>
      </c>
      <c r="E8" s="26" t="s">
        <v>706</v>
      </c>
      <c r="F8" s="10" t="s">
        <v>61</v>
      </c>
      <c r="G8" s="24" t="s">
        <v>708</v>
      </c>
      <c r="H8" s="59"/>
      <c r="I8" s="26" t="s">
        <v>722</v>
      </c>
    </row>
    <row r="9" spans="1:9" ht="30" customHeight="1" x14ac:dyDescent="0.25">
      <c r="A9" s="23" t="s">
        <v>723</v>
      </c>
      <c r="B9" s="22" t="s">
        <v>703</v>
      </c>
      <c r="C9" s="7" t="s">
        <v>724</v>
      </c>
      <c r="D9" s="7" t="s">
        <v>705</v>
      </c>
      <c r="E9" s="7" t="s">
        <v>58</v>
      </c>
      <c r="F9" s="10" t="s">
        <v>725</v>
      </c>
      <c r="G9" s="22" t="s">
        <v>726</v>
      </c>
      <c r="H9" s="59"/>
      <c r="I9" s="7"/>
    </row>
    <row r="10" spans="1:9" ht="30" customHeight="1" x14ac:dyDescent="0.25">
      <c r="A10" s="23" t="s">
        <v>727</v>
      </c>
      <c r="B10" s="22" t="s">
        <v>728</v>
      </c>
      <c r="C10" s="7" t="s">
        <v>729</v>
      </c>
      <c r="D10" s="7" t="s">
        <v>730</v>
      </c>
      <c r="E10" s="7" t="s">
        <v>731</v>
      </c>
      <c r="F10" s="10" t="s">
        <v>732</v>
      </c>
      <c r="G10" s="22" t="s">
        <v>726</v>
      </c>
      <c r="H10" s="59"/>
      <c r="I10" s="7" t="s">
        <v>733</v>
      </c>
    </row>
    <row r="11" spans="1:9" ht="30" customHeight="1" x14ac:dyDescent="0.25">
      <c r="A11" s="23" t="s">
        <v>734</v>
      </c>
      <c r="B11" s="22" t="s">
        <v>735</v>
      </c>
      <c r="C11" s="7" t="s">
        <v>736</v>
      </c>
      <c r="D11" s="7" t="s">
        <v>737</v>
      </c>
      <c r="E11" s="7" t="s">
        <v>705</v>
      </c>
      <c r="F11" s="10" t="s">
        <v>135</v>
      </c>
      <c r="G11" s="22" t="s">
        <v>726</v>
      </c>
      <c r="H11" s="59"/>
      <c r="I11" s="7"/>
    </row>
    <row r="12" spans="1:9" ht="30" customHeight="1" x14ac:dyDescent="0.25">
      <c r="A12" s="23" t="s">
        <v>738</v>
      </c>
      <c r="B12" s="22" t="s">
        <v>739</v>
      </c>
      <c r="C12" s="7" t="s">
        <v>740</v>
      </c>
      <c r="D12" s="7" t="s">
        <v>741</v>
      </c>
      <c r="E12" s="7" t="s">
        <v>713</v>
      </c>
      <c r="F12" s="10" t="s">
        <v>742</v>
      </c>
      <c r="G12" s="22" t="s">
        <v>726</v>
      </c>
      <c r="H12" s="59"/>
      <c r="I12" s="7" t="s">
        <v>743</v>
      </c>
    </row>
    <row r="13" spans="1:9" ht="30" customHeight="1" x14ac:dyDescent="0.25">
      <c r="A13" s="25" t="s">
        <v>744</v>
      </c>
      <c r="B13" s="24" t="s">
        <v>745</v>
      </c>
      <c r="C13" s="26" t="s">
        <v>746</v>
      </c>
      <c r="D13" s="26" t="s">
        <v>747</v>
      </c>
      <c r="E13" s="26" t="s">
        <v>748</v>
      </c>
      <c r="F13" s="10" t="s">
        <v>749</v>
      </c>
      <c r="G13" s="24" t="s">
        <v>708</v>
      </c>
      <c r="H13" s="59"/>
      <c r="I13" s="26" t="s">
        <v>750</v>
      </c>
    </row>
    <row r="14" spans="1:9" ht="30" customHeight="1" x14ac:dyDescent="0.25">
      <c r="A14" s="25" t="s">
        <v>751</v>
      </c>
      <c r="B14" s="24" t="s">
        <v>739</v>
      </c>
      <c r="C14" s="26" t="s">
        <v>752</v>
      </c>
      <c r="D14" s="26" t="s">
        <v>753</v>
      </c>
      <c r="E14" s="26" t="s">
        <v>754</v>
      </c>
      <c r="F14" s="10" t="s">
        <v>749</v>
      </c>
      <c r="G14" s="24" t="s">
        <v>708</v>
      </c>
      <c r="H14" s="59"/>
      <c r="I14" s="26" t="s">
        <v>750</v>
      </c>
    </row>
    <row r="15" spans="1:9" ht="30" customHeight="1" x14ac:dyDescent="0.25">
      <c r="A15" s="23" t="s">
        <v>755</v>
      </c>
      <c r="B15" s="22" t="s">
        <v>756</v>
      </c>
      <c r="C15" s="7" t="s">
        <v>757</v>
      </c>
      <c r="D15" s="7" t="s">
        <v>758</v>
      </c>
      <c r="E15" s="7" t="s">
        <v>759</v>
      </c>
      <c r="F15" s="10" t="s">
        <v>105</v>
      </c>
      <c r="G15" s="22" t="s">
        <v>726</v>
      </c>
      <c r="H15" s="59"/>
      <c r="I15" s="7"/>
    </row>
    <row r="16" spans="1:9" ht="30" customHeight="1" x14ac:dyDescent="0.25">
      <c r="A16" s="23" t="s">
        <v>760</v>
      </c>
      <c r="B16" s="22" t="s">
        <v>761</v>
      </c>
      <c r="C16" s="7" t="s">
        <v>762</v>
      </c>
      <c r="D16" s="7" t="s">
        <v>758</v>
      </c>
      <c r="E16" s="7" t="s">
        <v>147</v>
      </c>
      <c r="F16" s="10" t="s">
        <v>48</v>
      </c>
      <c r="G16" s="22" t="s">
        <v>726</v>
      </c>
      <c r="H16" s="59"/>
      <c r="I16" s="7"/>
    </row>
    <row r="17" spans="1:9" ht="30" customHeight="1" x14ac:dyDescent="0.25">
      <c r="A17" s="12" t="s">
        <v>763</v>
      </c>
      <c r="B17" s="11" t="s">
        <v>735</v>
      </c>
      <c r="C17" s="13" t="s">
        <v>764</v>
      </c>
      <c r="D17" s="13" t="s">
        <v>705</v>
      </c>
      <c r="E17" s="13" t="s">
        <v>731</v>
      </c>
      <c r="F17" s="10" t="s">
        <v>765</v>
      </c>
      <c r="G17" s="11" t="s">
        <v>766</v>
      </c>
      <c r="H17" s="59"/>
      <c r="I17" s="13" t="s">
        <v>767</v>
      </c>
    </row>
    <row r="18" spans="1:9" ht="30" customHeight="1" x14ac:dyDescent="0.25">
      <c r="A18" s="12" t="s">
        <v>768</v>
      </c>
      <c r="B18" s="11" t="s">
        <v>769</v>
      </c>
      <c r="C18" s="13" t="s">
        <v>770</v>
      </c>
      <c r="D18" s="13" t="s">
        <v>730</v>
      </c>
      <c r="E18" s="13" t="s">
        <v>731</v>
      </c>
      <c r="F18" s="10" t="s">
        <v>771</v>
      </c>
      <c r="G18" s="11" t="s">
        <v>766</v>
      </c>
      <c r="H18" s="59"/>
      <c r="I18" s="13" t="s">
        <v>772</v>
      </c>
    </row>
    <row r="19" spans="1:9" ht="30" customHeight="1" x14ac:dyDescent="0.25">
      <c r="A19" s="12" t="s">
        <v>768</v>
      </c>
      <c r="B19" s="11" t="s">
        <v>773</v>
      </c>
      <c r="C19" s="13" t="s">
        <v>774</v>
      </c>
      <c r="D19" s="13" t="s">
        <v>705</v>
      </c>
      <c r="E19" s="13" t="s">
        <v>731</v>
      </c>
      <c r="F19" s="10" t="s">
        <v>58</v>
      </c>
      <c r="G19" s="11" t="s">
        <v>766</v>
      </c>
      <c r="H19" s="59"/>
      <c r="I19" s="13" t="s">
        <v>775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9"/>
  <sheetViews>
    <sheetView showGridLines="0" zoomScaleNormal="100" workbookViewId="0">
      <selection sqref="A1:G1"/>
    </sheetView>
  </sheetViews>
  <sheetFormatPr defaultColWidth="8.5703125" defaultRowHeight="15" x14ac:dyDescent="0.25"/>
  <cols>
    <col min="1" max="1" width="20" customWidth="1"/>
    <col min="2" max="3" width="35" customWidth="1"/>
    <col min="4" max="5" width="18" customWidth="1"/>
    <col min="6" max="6" width="22" customWidth="1"/>
    <col min="7" max="7" width="40" customWidth="1"/>
  </cols>
  <sheetData>
    <row r="1" spans="1:7" ht="34.5" customHeight="1" x14ac:dyDescent="0.25">
      <c r="A1" s="86" t="s">
        <v>776</v>
      </c>
      <c r="B1" s="86"/>
      <c r="C1" s="86"/>
      <c r="D1" s="86"/>
      <c r="E1" s="86"/>
      <c r="F1" s="86"/>
      <c r="G1" s="86"/>
    </row>
    <row r="2" spans="1:7" ht="30" customHeight="1" x14ac:dyDescent="0.25">
      <c r="A2" s="1" t="s">
        <v>777</v>
      </c>
      <c r="B2" s="1" t="s">
        <v>778</v>
      </c>
      <c r="C2" s="1" t="s">
        <v>779</v>
      </c>
      <c r="D2" s="1" t="s">
        <v>780</v>
      </c>
      <c r="E2" s="1" t="s">
        <v>781</v>
      </c>
      <c r="F2" s="1" t="s">
        <v>782</v>
      </c>
      <c r="G2" s="1" t="s">
        <v>439</v>
      </c>
    </row>
    <row r="3" spans="1:7" ht="34.5" customHeight="1" x14ac:dyDescent="0.25">
      <c r="A3" s="60" t="s">
        <v>783</v>
      </c>
      <c r="B3" s="42" t="s">
        <v>784</v>
      </c>
      <c r="C3" s="5" t="s">
        <v>785</v>
      </c>
      <c r="D3" s="52" t="s">
        <v>635</v>
      </c>
      <c r="E3" s="52" t="s">
        <v>712</v>
      </c>
      <c r="F3" s="52" t="s">
        <v>786</v>
      </c>
      <c r="G3" s="5" t="s">
        <v>787</v>
      </c>
    </row>
    <row r="4" spans="1:7" ht="34.5" customHeight="1" x14ac:dyDescent="0.25">
      <c r="A4" s="60" t="s">
        <v>788</v>
      </c>
      <c r="B4" s="47" t="s">
        <v>789</v>
      </c>
      <c r="C4" s="6" t="s">
        <v>790</v>
      </c>
      <c r="D4" s="61" t="s">
        <v>635</v>
      </c>
      <c r="E4" s="61" t="s">
        <v>712</v>
      </c>
      <c r="F4" s="61" t="s">
        <v>786</v>
      </c>
      <c r="G4" s="6" t="s">
        <v>791</v>
      </c>
    </row>
    <row r="5" spans="1:7" ht="34.5" customHeight="1" x14ac:dyDescent="0.25">
      <c r="A5" s="60" t="s">
        <v>792</v>
      </c>
      <c r="B5" s="42" t="s">
        <v>793</v>
      </c>
      <c r="C5" s="5" t="s">
        <v>794</v>
      </c>
      <c r="D5" s="52" t="s">
        <v>795</v>
      </c>
      <c r="E5" s="52" t="s">
        <v>712</v>
      </c>
      <c r="F5" s="52" t="s">
        <v>786</v>
      </c>
      <c r="G5" s="5" t="s">
        <v>796</v>
      </c>
    </row>
    <row r="6" spans="1:7" ht="34.5" customHeight="1" x14ac:dyDescent="0.25">
      <c r="A6" s="60" t="s">
        <v>797</v>
      </c>
      <c r="B6" s="47" t="s">
        <v>798</v>
      </c>
      <c r="C6" s="6" t="s">
        <v>799</v>
      </c>
      <c r="D6" s="61" t="s">
        <v>795</v>
      </c>
      <c r="E6" s="61" t="s">
        <v>712</v>
      </c>
      <c r="F6" s="61" t="s">
        <v>800</v>
      </c>
      <c r="G6" s="6" t="s">
        <v>801</v>
      </c>
    </row>
    <row r="7" spans="1:7" ht="34.5" customHeight="1" x14ac:dyDescent="0.25">
      <c r="A7" s="60" t="s">
        <v>48</v>
      </c>
      <c r="B7" s="42" t="s">
        <v>802</v>
      </c>
      <c r="C7" s="5" t="s">
        <v>803</v>
      </c>
      <c r="D7" s="52" t="s">
        <v>758</v>
      </c>
      <c r="E7" s="52" t="s">
        <v>712</v>
      </c>
      <c r="F7" s="52" t="s">
        <v>786</v>
      </c>
      <c r="G7" s="5" t="s">
        <v>804</v>
      </c>
    </row>
    <row r="8" spans="1:7" ht="34.5" customHeight="1" x14ac:dyDescent="0.25">
      <c r="A8" s="60" t="s">
        <v>805</v>
      </c>
      <c r="B8" s="47" t="s">
        <v>806</v>
      </c>
      <c r="C8" s="6" t="s">
        <v>807</v>
      </c>
      <c r="D8" s="61" t="s">
        <v>758</v>
      </c>
      <c r="E8" s="61" t="s">
        <v>712</v>
      </c>
      <c r="F8" s="61" t="s">
        <v>800</v>
      </c>
      <c r="G8" s="6"/>
    </row>
    <row r="9" spans="1:7" ht="34.5" customHeight="1" x14ac:dyDescent="0.25">
      <c r="A9" s="60" t="s">
        <v>808</v>
      </c>
      <c r="B9" s="42" t="s">
        <v>809</v>
      </c>
      <c r="C9" s="5" t="s">
        <v>810</v>
      </c>
      <c r="D9" s="52" t="s">
        <v>758</v>
      </c>
      <c r="E9" s="52" t="s">
        <v>705</v>
      </c>
      <c r="F9" s="52" t="s">
        <v>811</v>
      </c>
      <c r="G9" s="5" t="s">
        <v>812</v>
      </c>
    </row>
    <row r="10" spans="1:7" ht="34.5" customHeight="1" x14ac:dyDescent="0.25">
      <c r="A10" s="60" t="s">
        <v>813</v>
      </c>
      <c r="B10" s="47" t="s">
        <v>814</v>
      </c>
      <c r="C10" s="6" t="s">
        <v>815</v>
      </c>
      <c r="D10" s="61" t="s">
        <v>737</v>
      </c>
      <c r="E10" s="61" t="s">
        <v>816</v>
      </c>
      <c r="F10" s="61" t="s">
        <v>817</v>
      </c>
      <c r="G10" s="6" t="s">
        <v>818</v>
      </c>
    </row>
    <row r="11" spans="1:7" ht="34.5" customHeight="1" x14ac:dyDescent="0.25">
      <c r="A11" s="60" t="s">
        <v>819</v>
      </c>
      <c r="B11" s="42" t="s">
        <v>820</v>
      </c>
      <c r="C11" s="5" t="s">
        <v>821</v>
      </c>
      <c r="D11" s="52" t="s">
        <v>822</v>
      </c>
      <c r="E11" s="52" t="s">
        <v>823</v>
      </c>
      <c r="F11" s="52" t="s">
        <v>811</v>
      </c>
      <c r="G11" s="49" t="s">
        <v>824</v>
      </c>
    </row>
    <row r="12" spans="1:7" ht="34.5" customHeight="1" x14ac:dyDescent="0.25">
      <c r="A12" s="60" t="s">
        <v>61</v>
      </c>
      <c r="B12" s="47" t="s">
        <v>825</v>
      </c>
      <c r="C12" s="6" t="s">
        <v>826</v>
      </c>
      <c r="D12" s="61" t="s">
        <v>705</v>
      </c>
      <c r="E12" s="61" t="s">
        <v>705</v>
      </c>
      <c r="F12" s="61" t="s">
        <v>811</v>
      </c>
      <c r="G12" s="6" t="s">
        <v>827</v>
      </c>
    </row>
    <row r="13" spans="1:7" ht="34.5" customHeight="1" x14ac:dyDescent="0.25">
      <c r="A13" s="60" t="s">
        <v>828</v>
      </c>
      <c r="B13" s="42" t="s">
        <v>829</v>
      </c>
      <c r="C13" s="5" t="s">
        <v>830</v>
      </c>
      <c r="D13" s="52" t="s">
        <v>831</v>
      </c>
      <c r="E13" s="52" t="s">
        <v>712</v>
      </c>
      <c r="F13" s="52" t="s">
        <v>811</v>
      </c>
      <c r="G13" s="5" t="s">
        <v>832</v>
      </c>
    </row>
    <row r="14" spans="1:7" ht="34.5" customHeight="1" x14ac:dyDescent="0.25">
      <c r="A14" s="60" t="s">
        <v>833</v>
      </c>
      <c r="B14" s="47" t="s">
        <v>834</v>
      </c>
      <c r="C14" s="6" t="s">
        <v>835</v>
      </c>
      <c r="D14" s="61" t="s">
        <v>836</v>
      </c>
      <c r="E14" s="61" t="s">
        <v>712</v>
      </c>
      <c r="F14" s="61" t="s">
        <v>811</v>
      </c>
      <c r="G14" s="6" t="s">
        <v>837</v>
      </c>
    </row>
    <row r="15" spans="1:7" ht="34.5" customHeight="1" x14ac:dyDescent="0.25">
      <c r="A15" s="60" t="s">
        <v>838</v>
      </c>
      <c r="B15" s="42" t="s">
        <v>839</v>
      </c>
      <c r="C15" s="5" t="s">
        <v>840</v>
      </c>
      <c r="D15" s="52" t="s">
        <v>841</v>
      </c>
      <c r="E15" s="52" t="s">
        <v>842</v>
      </c>
      <c r="F15" s="52" t="s">
        <v>843</v>
      </c>
      <c r="G15" s="5" t="s">
        <v>844</v>
      </c>
    </row>
    <row r="16" spans="1:7" ht="34.5" customHeight="1" x14ac:dyDescent="0.25">
      <c r="A16" s="60" t="s">
        <v>845</v>
      </c>
      <c r="B16" s="47" t="s">
        <v>846</v>
      </c>
      <c r="C16" s="6" t="s">
        <v>847</v>
      </c>
      <c r="D16" s="61" t="s">
        <v>842</v>
      </c>
      <c r="E16" s="61" t="s">
        <v>842</v>
      </c>
      <c r="F16" s="61" t="s">
        <v>843</v>
      </c>
      <c r="G16" s="6" t="s">
        <v>848</v>
      </c>
    </row>
    <row r="17" spans="1:7" ht="34.5" customHeight="1" x14ac:dyDescent="0.25">
      <c r="A17" s="60" t="s">
        <v>849</v>
      </c>
      <c r="B17" s="42" t="s">
        <v>850</v>
      </c>
      <c r="C17" s="5" t="s">
        <v>851</v>
      </c>
      <c r="D17" s="52" t="s">
        <v>842</v>
      </c>
      <c r="E17" s="52" t="s">
        <v>842</v>
      </c>
      <c r="F17" s="52" t="s">
        <v>843</v>
      </c>
      <c r="G17" s="5" t="s">
        <v>852</v>
      </c>
    </row>
    <row r="18" spans="1:7" ht="34.5" customHeight="1" x14ac:dyDescent="0.25">
      <c r="A18" s="60" t="s">
        <v>853</v>
      </c>
      <c r="B18" s="47" t="s">
        <v>854</v>
      </c>
      <c r="C18" s="6" t="s">
        <v>855</v>
      </c>
      <c r="D18" s="61" t="s">
        <v>856</v>
      </c>
      <c r="E18" s="61" t="s">
        <v>816</v>
      </c>
      <c r="F18" s="61" t="s">
        <v>817</v>
      </c>
      <c r="G18" s="6"/>
    </row>
    <row r="19" spans="1:7" ht="34.5" customHeight="1" x14ac:dyDescent="0.25">
      <c r="A19" s="60" t="s">
        <v>857</v>
      </c>
      <c r="B19" s="42" t="s">
        <v>858</v>
      </c>
      <c r="C19" s="5" t="s">
        <v>859</v>
      </c>
      <c r="D19" s="52" t="s">
        <v>705</v>
      </c>
      <c r="E19" s="52" t="s">
        <v>705</v>
      </c>
      <c r="F19" s="52" t="s">
        <v>811</v>
      </c>
      <c r="G19" s="5" t="s">
        <v>860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13"/>
  <sheetViews>
    <sheetView showGridLines="0" zoomScaleNormal="100" workbookViewId="0">
      <selection sqref="A1:F1"/>
    </sheetView>
  </sheetViews>
  <sheetFormatPr defaultColWidth="8.5703125" defaultRowHeight="15" x14ac:dyDescent="0.25"/>
  <cols>
    <col min="1" max="1" width="22" customWidth="1"/>
    <col min="2" max="2" width="8" customWidth="1"/>
    <col min="3" max="3" width="50" customWidth="1"/>
    <col min="4" max="4" width="55" customWidth="1"/>
    <col min="5" max="5" width="20" customWidth="1"/>
  </cols>
  <sheetData>
    <row r="1" spans="1:6" ht="34.5" customHeight="1" x14ac:dyDescent="0.25">
      <c r="A1" s="86" t="s">
        <v>861</v>
      </c>
      <c r="B1" s="86"/>
      <c r="C1" s="86"/>
      <c r="D1" s="86"/>
      <c r="E1" s="86"/>
      <c r="F1" s="86"/>
    </row>
    <row r="2" spans="1:6" ht="30" customHeight="1" x14ac:dyDescent="0.25">
      <c r="A2" s="1" t="s">
        <v>583</v>
      </c>
      <c r="B2" s="1" t="s">
        <v>862</v>
      </c>
      <c r="C2" s="1" t="s">
        <v>863</v>
      </c>
      <c r="D2" s="1" t="s">
        <v>864</v>
      </c>
      <c r="E2" s="1" t="s">
        <v>439</v>
      </c>
    </row>
    <row r="3" spans="1:6" ht="45" customHeight="1" x14ac:dyDescent="0.25">
      <c r="A3" s="62" t="s">
        <v>865</v>
      </c>
      <c r="B3" s="63" t="s">
        <v>866</v>
      </c>
      <c r="C3" s="5" t="s">
        <v>867</v>
      </c>
      <c r="D3" s="6" t="s">
        <v>868</v>
      </c>
      <c r="E3" s="5"/>
    </row>
    <row r="4" spans="1:6" ht="45" customHeight="1" x14ac:dyDescent="0.25">
      <c r="A4" s="62" t="s">
        <v>865</v>
      </c>
      <c r="B4" s="63" t="s">
        <v>869</v>
      </c>
      <c r="C4" s="5" t="s">
        <v>870</v>
      </c>
      <c r="D4" s="6" t="s">
        <v>871</v>
      </c>
      <c r="E4" s="5"/>
    </row>
    <row r="5" spans="1:6" ht="45" customHeight="1" x14ac:dyDescent="0.25">
      <c r="A5" s="62" t="s">
        <v>865</v>
      </c>
      <c r="B5" s="63" t="s">
        <v>872</v>
      </c>
      <c r="C5" s="5" t="s">
        <v>873</v>
      </c>
      <c r="D5" s="6" t="s">
        <v>874</v>
      </c>
      <c r="E5" s="5"/>
    </row>
    <row r="6" spans="1:6" ht="45" customHeight="1" x14ac:dyDescent="0.25">
      <c r="A6" s="62" t="s">
        <v>865</v>
      </c>
      <c r="B6" s="63" t="s">
        <v>875</v>
      </c>
      <c r="C6" s="5" t="s">
        <v>876</v>
      </c>
      <c r="D6" s="6" t="s">
        <v>871</v>
      </c>
      <c r="E6" s="5"/>
    </row>
    <row r="7" spans="1:6" ht="45" customHeight="1" x14ac:dyDescent="0.25">
      <c r="A7" s="8" t="s">
        <v>877</v>
      </c>
      <c r="B7" s="64" t="s">
        <v>878</v>
      </c>
      <c r="C7" s="5" t="s">
        <v>879</v>
      </c>
      <c r="D7" s="6" t="s">
        <v>880</v>
      </c>
      <c r="E7" s="5"/>
    </row>
    <row r="8" spans="1:6" ht="45" customHeight="1" x14ac:dyDescent="0.25">
      <c r="A8" s="8" t="s">
        <v>877</v>
      </c>
      <c r="B8" s="64" t="s">
        <v>881</v>
      </c>
      <c r="C8" s="5" t="s">
        <v>882</v>
      </c>
      <c r="D8" s="6" t="s">
        <v>880</v>
      </c>
      <c r="E8" s="5"/>
    </row>
    <row r="9" spans="1:6" ht="45" customHeight="1" x14ac:dyDescent="0.25">
      <c r="A9" s="8" t="s">
        <v>877</v>
      </c>
      <c r="B9" s="64" t="s">
        <v>883</v>
      </c>
      <c r="C9" s="5" t="s">
        <v>884</v>
      </c>
      <c r="D9" s="6" t="s">
        <v>880</v>
      </c>
      <c r="E9" s="5"/>
    </row>
    <row r="10" spans="1:6" ht="45" customHeight="1" x14ac:dyDescent="0.25">
      <c r="A10" s="65" t="s">
        <v>885</v>
      </c>
      <c r="B10" s="66" t="s">
        <v>886</v>
      </c>
      <c r="C10" s="5" t="s">
        <v>887</v>
      </c>
      <c r="D10" s="6" t="s">
        <v>888</v>
      </c>
      <c r="E10" s="5"/>
    </row>
    <row r="11" spans="1:6" ht="45" customHeight="1" x14ac:dyDescent="0.25">
      <c r="A11" s="65" t="s">
        <v>885</v>
      </c>
      <c r="B11" s="66" t="s">
        <v>889</v>
      </c>
      <c r="C11" s="5" t="s">
        <v>890</v>
      </c>
      <c r="D11" s="6" t="s">
        <v>888</v>
      </c>
      <c r="E11" s="5"/>
    </row>
    <row r="12" spans="1:6" ht="45" customHeight="1" x14ac:dyDescent="0.25">
      <c r="A12" s="65" t="s">
        <v>885</v>
      </c>
      <c r="B12" s="66" t="s">
        <v>891</v>
      </c>
      <c r="C12" s="5" t="s">
        <v>892</v>
      </c>
      <c r="D12" s="6" t="s">
        <v>888</v>
      </c>
      <c r="E12" s="5"/>
    </row>
    <row r="13" spans="1:6" ht="45" customHeight="1" x14ac:dyDescent="0.25">
      <c r="A13" s="65" t="s">
        <v>885</v>
      </c>
      <c r="B13" s="66" t="s">
        <v>893</v>
      </c>
      <c r="C13" s="5" t="s">
        <v>894</v>
      </c>
      <c r="D13" s="6" t="s">
        <v>895</v>
      </c>
      <c r="E13" s="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🏠 TỔNG QUAN</vt:lpstr>
      <vt:lpstr>📋 DANH MỤC CP</vt:lpstr>
      <vt:lpstr>📊 TỔNG HỢP CP</vt:lpstr>
      <vt:lpstr>📝 NHẬP CP</vt:lpstr>
      <vt:lpstr>🔍 TRA CỨU NHANH</vt:lpstr>
      <vt:lpstr>💰 ĐỊNH MỨC</vt:lpstr>
      <vt:lpstr>📊 QUY TRÌNH</vt:lpstr>
      <vt:lpstr>⏰ NHẮC NHỞ</vt:lpstr>
      <vt:lpstr>📁 BIỂU MẪU</vt:lpstr>
      <vt:lpstr>👥 PHÂN NHÓM 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Hổ</cp:lastModifiedBy>
  <cp:revision>0</cp:revision>
  <dcterms:created xsi:type="dcterms:W3CDTF">2026-05-14T01:33:31Z</dcterms:created>
  <dcterms:modified xsi:type="dcterms:W3CDTF">2026-05-16T08:59:39Z</dcterms:modified>
  <dc:language>en-US</dc:language>
</cp:coreProperties>
</file>